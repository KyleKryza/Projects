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  <Override PartName="/xl/commentsmeta1" ContentType="application/binary"/>
  <Override PartName="/xl/commentsmeta8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yza\OneDrive\Desktop\Projects\PropertyLedger\"/>
    </mc:Choice>
  </mc:AlternateContent>
  <xr:revisionPtr revIDLastSave="0" documentId="13_ncr:1_{3FDD25F0-3954-4E8C-AE09-BC5592C8B191}" xr6:coauthVersionLast="47" xr6:coauthVersionMax="47" xr10:uidLastSave="{00000000-0000-0000-0000-000000000000}"/>
  <bookViews>
    <workbookView xWindow="4860" yWindow="2010" windowWidth="28800" windowHeight="11385" firstSheet="11" activeTab="19" xr2:uid="{00000000-000D-0000-FFFF-FFFF00000000}"/>
  </bookViews>
  <sheets>
    <sheet name="PrivTax-old" sheetId="3" state="hidden" r:id="rId1"/>
    <sheet name="1029" sheetId="6" r:id="rId2"/>
    <sheet name="35736" sheetId="7" r:id="rId3"/>
    <sheet name="2592" sheetId="8" r:id="rId4"/>
    <sheet name="5436" sheetId="9" r:id="rId5"/>
    <sheet name="932" sheetId="10" r:id="rId6"/>
    <sheet name="2614" sheetId="11" r:id="rId7"/>
    <sheet name="876" sheetId="22" r:id="rId8"/>
    <sheet name="201" sheetId="19" r:id="rId9"/>
    <sheet name="8241" sheetId="21" r:id="rId10"/>
    <sheet name="123" sheetId="18" r:id="rId11"/>
    <sheet name="911" sheetId="17" r:id="rId12"/>
    <sheet name="1105" sheetId="16" r:id="rId13"/>
    <sheet name="8995" sheetId="12" r:id="rId14"/>
    <sheet name="3324" sheetId="15" r:id="rId15"/>
    <sheet name="666" sheetId="24" r:id="rId16"/>
    <sheet name="8008" sheetId="23" r:id="rId17"/>
    <sheet name="9001" sheetId="13" r:id="rId18"/>
    <sheet name="752" sheetId="25" r:id="rId19"/>
    <sheet name="2480" sheetId="26" r:id="rId20"/>
    <sheet name="Lists" sheetId="14" r:id="rId21"/>
  </sheets>
  <functionGroups builtInGroupCount="19"/>
  <definedNames>
    <definedName name="Months">Lists!$B$2:$B$13</definedName>
    <definedName name="Rent">'35736'!$G$8</definedName>
    <definedName name="TextMonths">Lists!$C$2:$C$13</definedName>
    <definedName name="Toda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22" roundtripDataSignature="AMtx7mh7x8yEsT5wXvKQSD0j0VqDnqFzRg=="/>
    </ext>
  </extLst>
</workbook>
</file>

<file path=xl/calcChain.xml><?xml version="1.0" encoding="utf-8"?>
<calcChain xmlns="http://schemas.openxmlformats.org/spreadsheetml/2006/main">
  <c r="H5" i="26" l="1"/>
  <c r="C5" i="26"/>
  <c r="B3" i="26"/>
  <c r="A3" i="26"/>
  <c r="H3" i="26" s="1"/>
  <c r="H44" i="10"/>
  <c r="C44" i="10"/>
  <c r="H65" i="13"/>
  <c r="C65" i="13"/>
  <c r="H5" i="25"/>
  <c r="C5" i="25"/>
  <c r="B3" i="25"/>
  <c r="A3" i="25"/>
  <c r="H3" i="25" s="1"/>
  <c r="H6" i="23"/>
  <c r="C6" i="23"/>
  <c r="H7" i="17"/>
  <c r="C7" i="17"/>
  <c r="H6" i="22"/>
  <c r="C6" i="22"/>
  <c r="H10" i="24"/>
  <c r="C10" i="24"/>
  <c r="H9" i="24"/>
  <c r="C9" i="24"/>
  <c r="H8" i="24"/>
  <c r="C8" i="24"/>
  <c r="H7" i="24"/>
  <c r="C7" i="24"/>
  <c r="H6" i="24"/>
  <c r="C6" i="24"/>
  <c r="H5" i="24"/>
  <c r="C5" i="24"/>
  <c r="B3" i="24"/>
  <c r="A3" i="24"/>
  <c r="D3" i="24" s="1"/>
  <c r="H5" i="23"/>
  <c r="C5" i="23"/>
  <c r="B3" i="23"/>
  <c r="A3" i="23"/>
  <c r="H3" i="23" s="1"/>
  <c r="H5" i="22"/>
  <c r="C5" i="22"/>
  <c r="B3" i="22"/>
  <c r="A3" i="22"/>
  <c r="D3" i="22" s="1"/>
  <c r="H11" i="15"/>
  <c r="C11" i="15"/>
  <c r="H5" i="21"/>
  <c r="C5" i="21"/>
  <c r="D3" i="21"/>
  <c r="B3" i="21"/>
  <c r="A3" i="21"/>
  <c r="H3" i="21" s="1"/>
  <c r="H5" i="19"/>
  <c r="C5" i="19"/>
  <c r="B3" i="19"/>
  <c r="A3" i="19"/>
  <c r="H6" i="17"/>
  <c r="C6" i="17"/>
  <c r="H5" i="18"/>
  <c r="C5" i="18"/>
  <c r="B3" i="18"/>
  <c r="A3" i="18"/>
  <c r="H3" i="18" s="1"/>
  <c r="H8" i="16"/>
  <c r="C8" i="16"/>
  <c r="H5" i="17"/>
  <c r="C5" i="17"/>
  <c r="B3" i="17"/>
  <c r="A3" i="17"/>
  <c r="H3" i="17" s="1"/>
  <c r="C7" i="16"/>
  <c r="H6" i="16"/>
  <c r="H7" i="16" s="1"/>
  <c r="C6" i="16"/>
  <c r="H5" i="16"/>
  <c r="C5" i="16"/>
  <c r="B3" i="16"/>
  <c r="A3" i="16"/>
  <c r="H64" i="13"/>
  <c r="C64" i="13"/>
  <c r="H63" i="13"/>
  <c r="C63" i="13"/>
  <c r="H62" i="13"/>
  <c r="C62" i="13"/>
  <c r="H10" i="15"/>
  <c r="C10" i="15"/>
  <c r="H9" i="15"/>
  <c r="C9" i="15"/>
  <c r="H8" i="15"/>
  <c r="C8" i="15"/>
  <c r="H7" i="15"/>
  <c r="C7" i="15"/>
  <c r="H6" i="15"/>
  <c r="C6" i="15"/>
  <c r="H5" i="15"/>
  <c r="C5" i="15"/>
  <c r="H61" i="13"/>
  <c r="C61" i="13"/>
  <c r="H60" i="13"/>
  <c r="C60" i="13"/>
  <c r="H59" i="13"/>
  <c r="C59" i="13"/>
  <c r="H58" i="13"/>
  <c r="C58" i="13"/>
  <c r="H57" i="13"/>
  <c r="C57" i="13"/>
  <c r="H56" i="13"/>
  <c r="C56" i="13"/>
  <c r="H55" i="13"/>
  <c r="C55" i="13"/>
  <c r="H54" i="13"/>
  <c r="C54" i="13"/>
  <c r="H53" i="13"/>
  <c r="C53" i="13"/>
  <c r="H52" i="13"/>
  <c r="C52" i="13"/>
  <c r="H51" i="13"/>
  <c r="C51" i="13"/>
  <c r="H50" i="13"/>
  <c r="C50" i="13"/>
  <c r="H49" i="13"/>
  <c r="C49" i="13"/>
  <c r="H48" i="13"/>
  <c r="C48" i="13"/>
  <c r="H47" i="13"/>
  <c r="C47" i="13"/>
  <c r="H46" i="13"/>
  <c r="C46" i="13"/>
  <c r="H45" i="13"/>
  <c r="C45" i="13"/>
  <c r="H44" i="13"/>
  <c r="C44" i="13"/>
  <c r="H43" i="13"/>
  <c r="C43" i="13"/>
  <c r="H42" i="13"/>
  <c r="C42" i="13"/>
  <c r="H41" i="13"/>
  <c r="C41" i="13"/>
  <c r="H40" i="13"/>
  <c r="C40" i="13"/>
  <c r="H39" i="13"/>
  <c r="C39" i="13"/>
  <c r="H38" i="13"/>
  <c r="C38" i="13"/>
  <c r="H37" i="13"/>
  <c r="C37" i="13"/>
  <c r="H36" i="13"/>
  <c r="C36" i="13"/>
  <c r="H35" i="13"/>
  <c r="C35" i="13"/>
  <c r="H34" i="13"/>
  <c r="C34" i="13"/>
  <c r="H33" i="13"/>
  <c r="C33" i="13"/>
  <c r="H32" i="13"/>
  <c r="C32" i="13"/>
  <c r="H31" i="13"/>
  <c r="C31" i="13"/>
  <c r="H30" i="13"/>
  <c r="C30" i="13"/>
  <c r="H29" i="13"/>
  <c r="C29" i="13"/>
  <c r="H28" i="13"/>
  <c r="C28" i="13"/>
  <c r="H27" i="13"/>
  <c r="C27" i="13"/>
  <c r="H26" i="13"/>
  <c r="C26" i="13"/>
  <c r="H25" i="13"/>
  <c r="C25" i="13"/>
  <c r="H24" i="13"/>
  <c r="C24" i="13"/>
  <c r="H23" i="13"/>
  <c r="C23" i="13"/>
  <c r="H22" i="13"/>
  <c r="C22" i="13"/>
  <c r="H21" i="13"/>
  <c r="C21" i="13"/>
  <c r="H20" i="13"/>
  <c r="C20" i="13"/>
  <c r="H19" i="13"/>
  <c r="C19" i="13"/>
  <c r="H18" i="13"/>
  <c r="C18" i="13"/>
  <c r="H17" i="13"/>
  <c r="C17" i="13"/>
  <c r="H16" i="13"/>
  <c r="C16" i="13"/>
  <c r="H15" i="13"/>
  <c r="C15" i="13"/>
  <c r="H14" i="13"/>
  <c r="C14" i="13"/>
  <c r="H13" i="13"/>
  <c r="C13" i="13"/>
  <c r="H12" i="13"/>
  <c r="C12" i="13"/>
  <c r="H11" i="13"/>
  <c r="C11" i="13"/>
  <c r="H10" i="13"/>
  <c r="C10" i="13"/>
  <c r="H9" i="13"/>
  <c r="C9" i="13"/>
  <c r="H8" i="13"/>
  <c r="C8" i="13"/>
  <c r="H7" i="13"/>
  <c r="C7" i="13"/>
  <c r="H6" i="13"/>
  <c r="C6" i="13"/>
  <c r="H5" i="13"/>
  <c r="C5" i="13"/>
  <c r="B3" i="15"/>
  <c r="A3" i="15"/>
  <c r="A3" i="7"/>
  <c r="H43" i="10"/>
  <c r="C43" i="10"/>
  <c r="H42" i="10"/>
  <c r="C42" i="10"/>
  <c r="H41" i="10"/>
  <c r="C41" i="10"/>
  <c r="H40" i="10"/>
  <c r="C40" i="10"/>
  <c r="H39" i="10"/>
  <c r="C39" i="10"/>
  <c r="H38" i="10"/>
  <c r="C38" i="10"/>
  <c r="H37" i="10"/>
  <c r="C37" i="10"/>
  <c r="H36" i="10"/>
  <c r="C36" i="10"/>
  <c r="H35" i="10"/>
  <c r="C35" i="10"/>
  <c r="H34" i="10"/>
  <c r="C34" i="10"/>
  <c r="H33" i="10"/>
  <c r="C33" i="10"/>
  <c r="H32" i="10"/>
  <c r="C32" i="10"/>
  <c r="H31" i="10"/>
  <c r="C31" i="10"/>
  <c r="H30" i="10"/>
  <c r="C30" i="10"/>
  <c r="H29" i="10"/>
  <c r="C29" i="10"/>
  <c r="H28" i="10"/>
  <c r="C28" i="10"/>
  <c r="H27" i="10"/>
  <c r="C27" i="10"/>
  <c r="H26" i="10"/>
  <c r="C26" i="10"/>
  <c r="H25" i="10"/>
  <c r="C25" i="10"/>
  <c r="H24" i="10"/>
  <c r="C24" i="10"/>
  <c r="H23" i="10"/>
  <c r="C23" i="10"/>
  <c r="H22" i="10"/>
  <c r="C22" i="10"/>
  <c r="H21" i="10"/>
  <c r="C21" i="10"/>
  <c r="H20" i="10"/>
  <c r="C20" i="10"/>
  <c r="H19" i="10"/>
  <c r="C19" i="10"/>
  <c r="H18" i="10"/>
  <c r="C18" i="10"/>
  <c r="H17" i="10"/>
  <c r="C17" i="10"/>
  <c r="H16" i="10"/>
  <c r="C16" i="10"/>
  <c r="H15" i="10"/>
  <c r="C15" i="10"/>
  <c r="H14" i="10"/>
  <c r="C14" i="10"/>
  <c r="H13" i="10"/>
  <c r="C13" i="10"/>
  <c r="H12" i="10"/>
  <c r="C12" i="10"/>
  <c r="H11" i="10"/>
  <c r="C11" i="10"/>
  <c r="H10" i="10"/>
  <c r="C10" i="10"/>
  <c r="H9" i="10"/>
  <c r="C9" i="10"/>
  <c r="H8" i="10"/>
  <c r="C8" i="10"/>
  <c r="H7" i="10"/>
  <c r="C7" i="10"/>
  <c r="H6" i="10"/>
  <c r="C6" i="10"/>
  <c r="H5" i="10"/>
  <c r="C5" i="10"/>
  <c r="H72" i="12"/>
  <c r="C72" i="12"/>
  <c r="H71" i="12"/>
  <c r="C71" i="12"/>
  <c r="H70" i="12"/>
  <c r="C70" i="12"/>
  <c r="H69" i="12"/>
  <c r="C69" i="12"/>
  <c r="H68" i="12"/>
  <c r="C68" i="12"/>
  <c r="H67" i="12"/>
  <c r="C67" i="12"/>
  <c r="H66" i="12"/>
  <c r="C66" i="12"/>
  <c r="H65" i="12"/>
  <c r="C65" i="12"/>
  <c r="H64" i="12"/>
  <c r="C64" i="12"/>
  <c r="H63" i="12"/>
  <c r="C63" i="12"/>
  <c r="H62" i="12"/>
  <c r="C62" i="12"/>
  <c r="H61" i="12"/>
  <c r="C61" i="12"/>
  <c r="H60" i="12"/>
  <c r="C60" i="12"/>
  <c r="H59" i="12"/>
  <c r="C59" i="12"/>
  <c r="H58" i="12"/>
  <c r="C58" i="12"/>
  <c r="H57" i="12"/>
  <c r="C57" i="12"/>
  <c r="H56" i="12"/>
  <c r="C56" i="12"/>
  <c r="H55" i="12"/>
  <c r="C55" i="12"/>
  <c r="H54" i="12"/>
  <c r="C54" i="12"/>
  <c r="H53" i="12"/>
  <c r="C53" i="12"/>
  <c r="H52" i="12"/>
  <c r="C52" i="12"/>
  <c r="H51" i="12"/>
  <c r="C51" i="12"/>
  <c r="H50" i="12"/>
  <c r="C50" i="12"/>
  <c r="H49" i="12"/>
  <c r="C49" i="12"/>
  <c r="H48" i="12"/>
  <c r="C48" i="12"/>
  <c r="H47" i="12"/>
  <c r="C47" i="12"/>
  <c r="H46" i="12"/>
  <c r="C46" i="12"/>
  <c r="H45" i="12"/>
  <c r="C45" i="12"/>
  <c r="H44" i="12"/>
  <c r="C44" i="12"/>
  <c r="H43" i="12"/>
  <c r="C43" i="12"/>
  <c r="H42" i="12"/>
  <c r="C42" i="12"/>
  <c r="H41" i="12"/>
  <c r="C41" i="12"/>
  <c r="H40" i="12"/>
  <c r="C40" i="12"/>
  <c r="H39" i="12"/>
  <c r="C39" i="12"/>
  <c r="H38" i="12"/>
  <c r="C38" i="12"/>
  <c r="H37" i="12"/>
  <c r="C37" i="12"/>
  <c r="H36" i="12"/>
  <c r="C36" i="12"/>
  <c r="H35" i="12"/>
  <c r="C35" i="12"/>
  <c r="H34" i="12"/>
  <c r="C34" i="12"/>
  <c r="H33" i="12"/>
  <c r="C33" i="12"/>
  <c r="H32" i="12"/>
  <c r="C32" i="12"/>
  <c r="H31" i="12"/>
  <c r="C31" i="12"/>
  <c r="H30" i="12"/>
  <c r="C30" i="12"/>
  <c r="H29" i="12"/>
  <c r="C29" i="12"/>
  <c r="H28" i="12"/>
  <c r="C28" i="12"/>
  <c r="H27" i="12"/>
  <c r="C27" i="12"/>
  <c r="H26" i="12"/>
  <c r="C26" i="12"/>
  <c r="H25" i="12"/>
  <c r="C25" i="12"/>
  <c r="H24" i="12"/>
  <c r="C24" i="12"/>
  <c r="H23" i="12"/>
  <c r="C23" i="12"/>
  <c r="H22" i="12"/>
  <c r="C22" i="12"/>
  <c r="H21" i="12"/>
  <c r="C21" i="12"/>
  <c r="H20" i="12"/>
  <c r="C20" i="12"/>
  <c r="H19" i="12"/>
  <c r="C19" i="12"/>
  <c r="H18" i="12"/>
  <c r="C18" i="12"/>
  <c r="H17" i="12"/>
  <c r="C17" i="12"/>
  <c r="H16" i="12"/>
  <c r="C16" i="12"/>
  <c r="H15" i="12"/>
  <c r="C15" i="12"/>
  <c r="H14" i="12"/>
  <c r="C14" i="12"/>
  <c r="H13" i="12"/>
  <c r="C13" i="12"/>
  <c r="H12" i="12"/>
  <c r="C12" i="12"/>
  <c r="H11" i="12"/>
  <c r="C11" i="12"/>
  <c r="H10" i="12"/>
  <c r="C10" i="12"/>
  <c r="H9" i="12"/>
  <c r="C9" i="12"/>
  <c r="H8" i="12"/>
  <c r="C8" i="12"/>
  <c r="H7" i="12"/>
  <c r="C7" i="12"/>
  <c r="H6" i="12"/>
  <c r="C6" i="12"/>
  <c r="H5" i="12"/>
  <c r="C5" i="12"/>
  <c r="H185" i="11"/>
  <c r="C185" i="11"/>
  <c r="H184" i="11"/>
  <c r="C184" i="11"/>
  <c r="H183" i="11"/>
  <c r="C183" i="11"/>
  <c r="H182" i="11"/>
  <c r="C182" i="11"/>
  <c r="H181" i="11"/>
  <c r="C181" i="11"/>
  <c r="H180" i="11"/>
  <c r="C180" i="11"/>
  <c r="H179" i="11"/>
  <c r="C179" i="11"/>
  <c r="H178" i="11"/>
  <c r="C178" i="11"/>
  <c r="H177" i="11"/>
  <c r="C177" i="11"/>
  <c r="H176" i="11"/>
  <c r="C176" i="11"/>
  <c r="H175" i="11"/>
  <c r="C175" i="11"/>
  <c r="H174" i="11"/>
  <c r="C174" i="11"/>
  <c r="H173" i="11"/>
  <c r="C173" i="11"/>
  <c r="H172" i="11"/>
  <c r="C172" i="11"/>
  <c r="H171" i="11"/>
  <c r="C171" i="11"/>
  <c r="H170" i="11"/>
  <c r="C170" i="11"/>
  <c r="H169" i="11"/>
  <c r="C169" i="11"/>
  <c r="H168" i="11"/>
  <c r="C168" i="11"/>
  <c r="H167" i="11"/>
  <c r="C167" i="11"/>
  <c r="H166" i="11"/>
  <c r="C166" i="11"/>
  <c r="H165" i="11"/>
  <c r="C165" i="11"/>
  <c r="H164" i="11"/>
  <c r="C164" i="11"/>
  <c r="H163" i="11"/>
  <c r="C163" i="11"/>
  <c r="H162" i="11"/>
  <c r="C162" i="11"/>
  <c r="H161" i="11"/>
  <c r="C161" i="11"/>
  <c r="H160" i="11"/>
  <c r="C160" i="11"/>
  <c r="H159" i="11"/>
  <c r="C159" i="11"/>
  <c r="H158" i="11"/>
  <c r="C158" i="11"/>
  <c r="H157" i="11"/>
  <c r="C157" i="11"/>
  <c r="H156" i="11"/>
  <c r="C156" i="11"/>
  <c r="H155" i="11"/>
  <c r="C155" i="11"/>
  <c r="H154" i="11"/>
  <c r="C154" i="11"/>
  <c r="H153" i="11"/>
  <c r="C153" i="11"/>
  <c r="H152" i="11"/>
  <c r="C152" i="11"/>
  <c r="H151" i="11"/>
  <c r="C151" i="11"/>
  <c r="H150" i="11"/>
  <c r="C150" i="11"/>
  <c r="H149" i="11"/>
  <c r="C149" i="11"/>
  <c r="H148" i="11"/>
  <c r="C148" i="11"/>
  <c r="H147" i="11"/>
  <c r="C147" i="11"/>
  <c r="H146" i="11"/>
  <c r="C146" i="11"/>
  <c r="H145" i="11"/>
  <c r="C145" i="11"/>
  <c r="H144" i="11"/>
  <c r="C144" i="11"/>
  <c r="H143" i="11"/>
  <c r="C143" i="11"/>
  <c r="H142" i="11"/>
  <c r="C142" i="11"/>
  <c r="H141" i="11"/>
  <c r="C141" i="11"/>
  <c r="H140" i="11"/>
  <c r="C140" i="11"/>
  <c r="H139" i="11"/>
  <c r="C139" i="11"/>
  <c r="H138" i="11"/>
  <c r="C138" i="11"/>
  <c r="H137" i="11"/>
  <c r="C137" i="11"/>
  <c r="H136" i="11"/>
  <c r="C136" i="11"/>
  <c r="H135" i="11"/>
  <c r="C135" i="11"/>
  <c r="H134" i="11"/>
  <c r="C134" i="11"/>
  <c r="H133" i="11"/>
  <c r="C133" i="11"/>
  <c r="H132" i="11"/>
  <c r="C132" i="11"/>
  <c r="H131" i="11"/>
  <c r="C131" i="11"/>
  <c r="H130" i="11"/>
  <c r="C130" i="11"/>
  <c r="H129" i="11"/>
  <c r="C129" i="11"/>
  <c r="H128" i="11"/>
  <c r="C128" i="11"/>
  <c r="H127" i="11"/>
  <c r="C127" i="11"/>
  <c r="H126" i="11"/>
  <c r="C126" i="11"/>
  <c r="H125" i="11"/>
  <c r="C125" i="11"/>
  <c r="H124" i="11"/>
  <c r="C124" i="11"/>
  <c r="H123" i="11"/>
  <c r="C123" i="11"/>
  <c r="H122" i="11"/>
  <c r="C122" i="11"/>
  <c r="H121" i="11"/>
  <c r="C121" i="11"/>
  <c r="H120" i="11"/>
  <c r="C120" i="11"/>
  <c r="H119" i="11"/>
  <c r="C119" i="11"/>
  <c r="H118" i="11"/>
  <c r="C118" i="11"/>
  <c r="H117" i="11"/>
  <c r="C117" i="11"/>
  <c r="H116" i="11"/>
  <c r="C116" i="11"/>
  <c r="H115" i="11"/>
  <c r="C115" i="11"/>
  <c r="H114" i="11"/>
  <c r="C114" i="11"/>
  <c r="H113" i="11"/>
  <c r="C113" i="11"/>
  <c r="H112" i="11"/>
  <c r="C112" i="11"/>
  <c r="H111" i="11"/>
  <c r="C111" i="11"/>
  <c r="H110" i="11"/>
  <c r="C110" i="11"/>
  <c r="H109" i="11"/>
  <c r="C109" i="11"/>
  <c r="H108" i="11"/>
  <c r="C108" i="11"/>
  <c r="H107" i="11"/>
  <c r="C107" i="11"/>
  <c r="H106" i="11"/>
  <c r="C106" i="11"/>
  <c r="H105" i="11"/>
  <c r="C105" i="11"/>
  <c r="H104" i="11"/>
  <c r="C104" i="11"/>
  <c r="H103" i="11"/>
  <c r="C103" i="11"/>
  <c r="H102" i="11"/>
  <c r="C102" i="11"/>
  <c r="H101" i="11"/>
  <c r="C101" i="11"/>
  <c r="H100" i="11"/>
  <c r="C100" i="11"/>
  <c r="H99" i="11"/>
  <c r="C99" i="11"/>
  <c r="H98" i="11"/>
  <c r="C98" i="11"/>
  <c r="H97" i="11"/>
  <c r="C97" i="11"/>
  <c r="H96" i="11"/>
  <c r="C96" i="11"/>
  <c r="H95" i="11"/>
  <c r="C95" i="11"/>
  <c r="H94" i="11"/>
  <c r="C94" i="11"/>
  <c r="H93" i="11"/>
  <c r="C93" i="11"/>
  <c r="H92" i="11"/>
  <c r="C92" i="11"/>
  <c r="H91" i="11"/>
  <c r="C91" i="11"/>
  <c r="H90" i="11"/>
  <c r="C90" i="11"/>
  <c r="H89" i="11"/>
  <c r="C89" i="11"/>
  <c r="H88" i="11"/>
  <c r="C88" i="11"/>
  <c r="H87" i="11"/>
  <c r="C87" i="11"/>
  <c r="H86" i="11"/>
  <c r="C86" i="11"/>
  <c r="H85" i="11"/>
  <c r="C85" i="11"/>
  <c r="H84" i="11"/>
  <c r="C84" i="11"/>
  <c r="H83" i="11"/>
  <c r="C83" i="11"/>
  <c r="H82" i="11"/>
  <c r="C82" i="11"/>
  <c r="H81" i="11"/>
  <c r="C81" i="11"/>
  <c r="H80" i="11"/>
  <c r="C80" i="11"/>
  <c r="H79" i="11"/>
  <c r="C79" i="11"/>
  <c r="H78" i="11"/>
  <c r="C78" i="11"/>
  <c r="H77" i="11"/>
  <c r="C77" i="11"/>
  <c r="H76" i="11"/>
  <c r="C76" i="11"/>
  <c r="H75" i="11"/>
  <c r="C75" i="11"/>
  <c r="H74" i="11"/>
  <c r="C74" i="11"/>
  <c r="H73" i="11"/>
  <c r="C73" i="11"/>
  <c r="H72" i="11"/>
  <c r="C72" i="11"/>
  <c r="H71" i="11"/>
  <c r="C71" i="11"/>
  <c r="H70" i="11"/>
  <c r="C70" i="11"/>
  <c r="H69" i="11"/>
  <c r="C69" i="11"/>
  <c r="H68" i="11"/>
  <c r="C68" i="11"/>
  <c r="H67" i="11"/>
  <c r="C67" i="11"/>
  <c r="H66" i="11"/>
  <c r="C66" i="11"/>
  <c r="H65" i="11"/>
  <c r="C65" i="11"/>
  <c r="H64" i="11"/>
  <c r="C64" i="11"/>
  <c r="H63" i="11"/>
  <c r="C63" i="11"/>
  <c r="H62" i="11"/>
  <c r="C62" i="11"/>
  <c r="H61" i="11"/>
  <c r="C61" i="11"/>
  <c r="H60" i="11"/>
  <c r="C60" i="11"/>
  <c r="H59" i="11"/>
  <c r="C59" i="11"/>
  <c r="H58" i="11"/>
  <c r="C58" i="11"/>
  <c r="H57" i="11"/>
  <c r="C57" i="11"/>
  <c r="H56" i="11"/>
  <c r="C56" i="11"/>
  <c r="H55" i="11"/>
  <c r="C55" i="11"/>
  <c r="H54" i="11"/>
  <c r="C54" i="11"/>
  <c r="H53" i="11"/>
  <c r="C53" i="11"/>
  <c r="H52" i="11"/>
  <c r="C52" i="11"/>
  <c r="H51" i="11"/>
  <c r="C51" i="11"/>
  <c r="H50" i="11"/>
  <c r="C50" i="11"/>
  <c r="H49" i="11"/>
  <c r="C49" i="11"/>
  <c r="H48" i="11"/>
  <c r="C48" i="11"/>
  <c r="H47" i="11"/>
  <c r="C47" i="11"/>
  <c r="H46" i="11"/>
  <c r="C46" i="11"/>
  <c r="H45" i="11"/>
  <c r="C45" i="11"/>
  <c r="H44" i="11"/>
  <c r="C44" i="11"/>
  <c r="H43" i="11"/>
  <c r="C43" i="11"/>
  <c r="H42" i="11"/>
  <c r="C42" i="11"/>
  <c r="H41" i="11"/>
  <c r="C41" i="11"/>
  <c r="H40" i="11"/>
  <c r="C40" i="11"/>
  <c r="H39" i="11"/>
  <c r="C39" i="11"/>
  <c r="H38" i="11"/>
  <c r="C38" i="11"/>
  <c r="H37" i="11"/>
  <c r="C37" i="11"/>
  <c r="H36" i="11"/>
  <c r="C36" i="11"/>
  <c r="H35" i="11"/>
  <c r="C35" i="11"/>
  <c r="H34" i="11"/>
  <c r="C34" i="11"/>
  <c r="H33" i="11"/>
  <c r="C33" i="11"/>
  <c r="H32" i="11"/>
  <c r="C32" i="11"/>
  <c r="H31" i="11"/>
  <c r="C31" i="11"/>
  <c r="H30" i="11"/>
  <c r="C30" i="11"/>
  <c r="H29" i="11"/>
  <c r="C29" i="11"/>
  <c r="H28" i="11"/>
  <c r="C28" i="11"/>
  <c r="H27" i="11"/>
  <c r="C27" i="11"/>
  <c r="H26" i="11"/>
  <c r="C26" i="11"/>
  <c r="H25" i="11"/>
  <c r="C25" i="11"/>
  <c r="H24" i="11"/>
  <c r="C24" i="11"/>
  <c r="H23" i="11"/>
  <c r="C23" i="11"/>
  <c r="H22" i="11"/>
  <c r="C22" i="11"/>
  <c r="H21" i="11"/>
  <c r="C21" i="11"/>
  <c r="H20" i="11"/>
  <c r="C20" i="11"/>
  <c r="H19" i="11"/>
  <c r="C19" i="11"/>
  <c r="H18" i="11"/>
  <c r="C18" i="11"/>
  <c r="H17" i="11"/>
  <c r="C17" i="11"/>
  <c r="H16" i="11"/>
  <c r="C16" i="11"/>
  <c r="H15" i="11"/>
  <c r="C15" i="11"/>
  <c r="H14" i="11"/>
  <c r="C14" i="11"/>
  <c r="H13" i="11"/>
  <c r="C13" i="11"/>
  <c r="H12" i="11"/>
  <c r="C12" i="11"/>
  <c r="H11" i="11"/>
  <c r="C11" i="11"/>
  <c r="H10" i="11"/>
  <c r="C10" i="11"/>
  <c r="H9" i="11"/>
  <c r="C9" i="11"/>
  <c r="H8" i="11"/>
  <c r="C8" i="11"/>
  <c r="H7" i="11"/>
  <c r="C7" i="11"/>
  <c r="H6" i="11"/>
  <c r="C6" i="11"/>
  <c r="H5" i="11"/>
  <c r="C5" i="11"/>
  <c r="H92" i="9"/>
  <c r="C92" i="9"/>
  <c r="H91" i="9"/>
  <c r="C91" i="9"/>
  <c r="H90" i="9"/>
  <c r="C90" i="9"/>
  <c r="H89" i="9"/>
  <c r="C89" i="9"/>
  <c r="H88" i="9"/>
  <c r="C88" i="9"/>
  <c r="H87" i="9"/>
  <c r="C87" i="9"/>
  <c r="H86" i="9"/>
  <c r="C86" i="9"/>
  <c r="H85" i="9"/>
  <c r="C85" i="9"/>
  <c r="H84" i="9"/>
  <c r="C84" i="9"/>
  <c r="H83" i="9"/>
  <c r="C83" i="9"/>
  <c r="H82" i="9"/>
  <c r="C82" i="9"/>
  <c r="H81" i="9"/>
  <c r="C81" i="9"/>
  <c r="H80" i="9"/>
  <c r="C80" i="9"/>
  <c r="H79" i="9"/>
  <c r="C79" i="9"/>
  <c r="H78" i="9"/>
  <c r="C78" i="9"/>
  <c r="H77" i="9"/>
  <c r="C77" i="9"/>
  <c r="H76" i="9"/>
  <c r="C76" i="9"/>
  <c r="H75" i="9"/>
  <c r="C75" i="9"/>
  <c r="H74" i="9"/>
  <c r="C74" i="9"/>
  <c r="H73" i="9"/>
  <c r="C73" i="9"/>
  <c r="H72" i="9"/>
  <c r="C72" i="9"/>
  <c r="H71" i="9"/>
  <c r="C71" i="9"/>
  <c r="H70" i="9"/>
  <c r="C70" i="9"/>
  <c r="H69" i="9"/>
  <c r="C69" i="9"/>
  <c r="H68" i="9"/>
  <c r="C68" i="9"/>
  <c r="H67" i="9"/>
  <c r="C67" i="9"/>
  <c r="H66" i="9"/>
  <c r="C66" i="9"/>
  <c r="H65" i="9"/>
  <c r="C65" i="9"/>
  <c r="H64" i="9"/>
  <c r="C64" i="9"/>
  <c r="H63" i="9"/>
  <c r="C63" i="9"/>
  <c r="H62" i="9"/>
  <c r="C62" i="9"/>
  <c r="H61" i="9"/>
  <c r="C61" i="9"/>
  <c r="H60" i="9"/>
  <c r="C60" i="9"/>
  <c r="H59" i="9"/>
  <c r="C59" i="9"/>
  <c r="H58" i="9"/>
  <c r="C58" i="9"/>
  <c r="H57" i="9"/>
  <c r="C57" i="9"/>
  <c r="H56" i="9"/>
  <c r="C56" i="9"/>
  <c r="H55" i="9"/>
  <c r="C55" i="9"/>
  <c r="H54" i="9"/>
  <c r="C54" i="9"/>
  <c r="H53" i="9"/>
  <c r="C53" i="9"/>
  <c r="H52" i="9"/>
  <c r="C52" i="9"/>
  <c r="H51" i="9"/>
  <c r="C51" i="9"/>
  <c r="H50" i="9"/>
  <c r="C50" i="9"/>
  <c r="H49" i="9"/>
  <c r="C49" i="9"/>
  <c r="H48" i="9"/>
  <c r="C48" i="9"/>
  <c r="H47" i="9"/>
  <c r="C47" i="9"/>
  <c r="H46" i="9"/>
  <c r="C46" i="9"/>
  <c r="H45" i="9"/>
  <c r="C45" i="9"/>
  <c r="H44" i="9"/>
  <c r="C44" i="9"/>
  <c r="H43" i="9"/>
  <c r="C43" i="9"/>
  <c r="H42" i="9"/>
  <c r="C42" i="9"/>
  <c r="H41" i="9"/>
  <c r="C41" i="9"/>
  <c r="H40" i="9"/>
  <c r="C40" i="9"/>
  <c r="H39" i="9"/>
  <c r="C39" i="9"/>
  <c r="H38" i="9"/>
  <c r="C38" i="9"/>
  <c r="H37" i="9"/>
  <c r="C37" i="9"/>
  <c r="H36" i="9"/>
  <c r="C36" i="9"/>
  <c r="H35" i="9"/>
  <c r="C35" i="9"/>
  <c r="H34" i="9"/>
  <c r="C34" i="9"/>
  <c r="H33" i="9"/>
  <c r="C33" i="9"/>
  <c r="H32" i="9"/>
  <c r="C32" i="9"/>
  <c r="H31" i="9"/>
  <c r="C31" i="9"/>
  <c r="H30" i="9"/>
  <c r="C30" i="9"/>
  <c r="H29" i="9"/>
  <c r="C29" i="9"/>
  <c r="H28" i="9"/>
  <c r="C28" i="9"/>
  <c r="H27" i="9"/>
  <c r="C27" i="9"/>
  <c r="H26" i="9"/>
  <c r="C26" i="9"/>
  <c r="H25" i="9"/>
  <c r="C25" i="9"/>
  <c r="H24" i="9"/>
  <c r="C24" i="9"/>
  <c r="H23" i="9"/>
  <c r="C23" i="9"/>
  <c r="H22" i="9"/>
  <c r="C22" i="9"/>
  <c r="H21" i="9"/>
  <c r="C21" i="9"/>
  <c r="H20" i="9"/>
  <c r="C20" i="9"/>
  <c r="H19" i="9"/>
  <c r="C19" i="9"/>
  <c r="H18" i="9"/>
  <c r="C18" i="9"/>
  <c r="H17" i="9"/>
  <c r="C17" i="9"/>
  <c r="H16" i="9"/>
  <c r="C16" i="9"/>
  <c r="H15" i="9"/>
  <c r="C15" i="9"/>
  <c r="H14" i="9"/>
  <c r="C14" i="9"/>
  <c r="H13" i="9"/>
  <c r="C13" i="9"/>
  <c r="H12" i="9"/>
  <c r="C12" i="9"/>
  <c r="H11" i="9"/>
  <c r="C11" i="9"/>
  <c r="H10" i="9"/>
  <c r="C10" i="9"/>
  <c r="H9" i="9"/>
  <c r="C9" i="9"/>
  <c r="H8" i="9"/>
  <c r="C8" i="9"/>
  <c r="H7" i="9"/>
  <c r="C7" i="9"/>
  <c r="H6" i="9"/>
  <c r="C6" i="9"/>
  <c r="H5" i="9"/>
  <c r="C5" i="9"/>
  <c r="H111" i="8"/>
  <c r="C111" i="8"/>
  <c r="H110" i="8"/>
  <c r="C110" i="8"/>
  <c r="H109" i="8"/>
  <c r="C109" i="8"/>
  <c r="H108" i="8"/>
  <c r="C108" i="8"/>
  <c r="H107" i="8"/>
  <c r="C107" i="8"/>
  <c r="H106" i="8"/>
  <c r="C106" i="8"/>
  <c r="H105" i="8"/>
  <c r="C105" i="8"/>
  <c r="H104" i="8"/>
  <c r="C104" i="8"/>
  <c r="H103" i="8"/>
  <c r="C103" i="8"/>
  <c r="H102" i="8"/>
  <c r="C102" i="8"/>
  <c r="H101" i="8"/>
  <c r="C101" i="8"/>
  <c r="H100" i="8"/>
  <c r="C100" i="8"/>
  <c r="H99" i="8"/>
  <c r="C99" i="8"/>
  <c r="H98" i="8"/>
  <c r="C98" i="8"/>
  <c r="H97" i="8"/>
  <c r="C97" i="8"/>
  <c r="H96" i="8"/>
  <c r="C96" i="8"/>
  <c r="H95" i="8"/>
  <c r="C95" i="8"/>
  <c r="H94" i="8"/>
  <c r="C94" i="8"/>
  <c r="H93" i="8"/>
  <c r="C93" i="8"/>
  <c r="H92" i="8"/>
  <c r="C92" i="8"/>
  <c r="H91" i="8"/>
  <c r="C91" i="8"/>
  <c r="H90" i="8"/>
  <c r="C90" i="8"/>
  <c r="H89" i="8"/>
  <c r="C89" i="8"/>
  <c r="H88" i="8"/>
  <c r="C88" i="8"/>
  <c r="H87" i="8"/>
  <c r="C87" i="8"/>
  <c r="H86" i="8"/>
  <c r="C86" i="8"/>
  <c r="H85" i="8"/>
  <c r="C85" i="8"/>
  <c r="H84" i="8"/>
  <c r="C84" i="8"/>
  <c r="H83" i="8"/>
  <c r="C83" i="8"/>
  <c r="H82" i="8"/>
  <c r="C82" i="8"/>
  <c r="H81" i="8"/>
  <c r="C81" i="8"/>
  <c r="H80" i="8"/>
  <c r="C80" i="8"/>
  <c r="H79" i="8"/>
  <c r="C79" i="8"/>
  <c r="H78" i="8"/>
  <c r="C78" i="8"/>
  <c r="H77" i="8"/>
  <c r="C77" i="8"/>
  <c r="H76" i="8"/>
  <c r="C76" i="8"/>
  <c r="H75" i="8"/>
  <c r="C75" i="8"/>
  <c r="H74" i="8"/>
  <c r="C74" i="8"/>
  <c r="H73" i="8"/>
  <c r="C73" i="8"/>
  <c r="H72" i="8"/>
  <c r="C72" i="8"/>
  <c r="H71" i="8"/>
  <c r="C71" i="8"/>
  <c r="H70" i="8"/>
  <c r="C70" i="8"/>
  <c r="H69" i="8"/>
  <c r="C69" i="8"/>
  <c r="H68" i="8"/>
  <c r="C68" i="8"/>
  <c r="H67" i="8"/>
  <c r="C67" i="8"/>
  <c r="H66" i="8"/>
  <c r="C66" i="8"/>
  <c r="H65" i="8"/>
  <c r="C65" i="8"/>
  <c r="H64" i="8"/>
  <c r="C64" i="8"/>
  <c r="H63" i="8"/>
  <c r="C63" i="8"/>
  <c r="H62" i="8"/>
  <c r="C62" i="8"/>
  <c r="H61" i="8"/>
  <c r="C61" i="8"/>
  <c r="H60" i="8"/>
  <c r="C60" i="8"/>
  <c r="H59" i="8"/>
  <c r="C59" i="8"/>
  <c r="H58" i="8"/>
  <c r="C58" i="8"/>
  <c r="H57" i="8"/>
  <c r="C57" i="8"/>
  <c r="H56" i="8"/>
  <c r="C56" i="8"/>
  <c r="H55" i="8"/>
  <c r="C55" i="8"/>
  <c r="H54" i="8"/>
  <c r="C54" i="8"/>
  <c r="H53" i="8"/>
  <c r="C53" i="8"/>
  <c r="H52" i="8"/>
  <c r="C52" i="8"/>
  <c r="H51" i="8"/>
  <c r="C51" i="8"/>
  <c r="H50" i="8"/>
  <c r="C50" i="8"/>
  <c r="H49" i="8"/>
  <c r="C49" i="8"/>
  <c r="H48" i="8"/>
  <c r="C48" i="8"/>
  <c r="H47" i="8"/>
  <c r="C47" i="8"/>
  <c r="H46" i="8"/>
  <c r="C46" i="8"/>
  <c r="H45" i="8"/>
  <c r="C45" i="8"/>
  <c r="H44" i="8"/>
  <c r="C44" i="8"/>
  <c r="H43" i="8"/>
  <c r="C43" i="8"/>
  <c r="H42" i="8"/>
  <c r="C42" i="8"/>
  <c r="H41" i="8"/>
  <c r="C41" i="8"/>
  <c r="H40" i="8"/>
  <c r="C40" i="8"/>
  <c r="H39" i="8"/>
  <c r="C39" i="8"/>
  <c r="H38" i="8"/>
  <c r="C38" i="8"/>
  <c r="H37" i="8"/>
  <c r="C37" i="8"/>
  <c r="H36" i="8"/>
  <c r="C36" i="8"/>
  <c r="H35" i="8"/>
  <c r="C35" i="8"/>
  <c r="H34" i="8"/>
  <c r="C34" i="8"/>
  <c r="H33" i="8"/>
  <c r="C33" i="8"/>
  <c r="H32" i="8"/>
  <c r="C32" i="8"/>
  <c r="H31" i="8"/>
  <c r="C31" i="8"/>
  <c r="H30" i="8"/>
  <c r="C30" i="8"/>
  <c r="H29" i="8"/>
  <c r="C29" i="8"/>
  <c r="H28" i="8"/>
  <c r="C28" i="8"/>
  <c r="H27" i="8"/>
  <c r="C27" i="8"/>
  <c r="H26" i="8"/>
  <c r="C26" i="8"/>
  <c r="H25" i="8"/>
  <c r="C25" i="8"/>
  <c r="H24" i="8"/>
  <c r="C24" i="8"/>
  <c r="H23" i="8"/>
  <c r="C23" i="8"/>
  <c r="H22" i="8"/>
  <c r="C22" i="8"/>
  <c r="H21" i="8"/>
  <c r="C21" i="8"/>
  <c r="H20" i="8"/>
  <c r="C20" i="8"/>
  <c r="H19" i="8"/>
  <c r="C19" i="8"/>
  <c r="H18" i="8"/>
  <c r="C18" i="8"/>
  <c r="H17" i="8"/>
  <c r="C17" i="8"/>
  <c r="H16" i="8"/>
  <c r="C16" i="8"/>
  <c r="H15" i="8"/>
  <c r="C15" i="8"/>
  <c r="H14" i="8"/>
  <c r="C14" i="8"/>
  <c r="H13" i="8"/>
  <c r="C13" i="8"/>
  <c r="H12" i="8"/>
  <c r="C12" i="8"/>
  <c r="H11" i="8"/>
  <c r="C11" i="8"/>
  <c r="H10" i="8"/>
  <c r="C10" i="8"/>
  <c r="H9" i="8"/>
  <c r="C9" i="8"/>
  <c r="H8" i="8"/>
  <c r="C8" i="8"/>
  <c r="H7" i="8"/>
  <c r="C7" i="8"/>
  <c r="H6" i="8"/>
  <c r="C6" i="8"/>
  <c r="H5" i="8"/>
  <c r="C5" i="8"/>
  <c r="H261" i="7"/>
  <c r="C261" i="7"/>
  <c r="H260" i="7"/>
  <c r="C260" i="7"/>
  <c r="H259" i="7"/>
  <c r="C259" i="7"/>
  <c r="H258" i="7"/>
  <c r="C258" i="7"/>
  <c r="H257" i="7"/>
  <c r="C257" i="7"/>
  <c r="H256" i="7"/>
  <c r="C256" i="7"/>
  <c r="H255" i="7"/>
  <c r="C255" i="7"/>
  <c r="H254" i="7"/>
  <c r="C254" i="7"/>
  <c r="H253" i="7"/>
  <c r="C253" i="7"/>
  <c r="H252" i="7"/>
  <c r="C252" i="7"/>
  <c r="H251" i="7"/>
  <c r="C251" i="7"/>
  <c r="H250" i="7"/>
  <c r="C250" i="7"/>
  <c r="H249" i="7"/>
  <c r="C249" i="7"/>
  <c r="H248" i="7"/>
  <c r="C248" i="7"/>
  <c r="H247" i="7"/>
  <c r="C247" i="7"/>
  <c r="H246" i="7"/>
  <c r="C246" i="7"/>
  <c r="H245" i="7"/>
  <c r="C245" i="7"/>
  <c r="H244" i="7"/>
  <c r="C244" i="7"/>
  <c r="H243" i="7"/>
  <c r="C243" i="7"/>
  <c r="H242" i="7"/>
  <c r="C242" i="7"/>
  <c r="H241" i="7"/>
  <c r="C241" i="7"/>
  <c r="H240" i="7"/>
  <c r="C240" i="7"/>
  <c r="H239" i="7"/>
  <c r="C239" i="7"/>
  <c r="H238" i="7"/>
  <c r="C238" i="7"/>
  <c r="H237" i="7"/>
  <c r="C237" i="7"/>
  <c r="H236" i="7"/>
  <c r="C236" i="7"/>
  <c r="H235" i="7"/>
  <c r="C235" i="7"/>
  <c r="H234" i="7"/>
  <c r="C234" i="7"/>
  <c r="H233" i="7"/>
  <c r="C233" i="7"/>
  <c r="H232" i="7"/>
  <c r="C232" i="7"/>
  <c r="H231" i="7"/>
  <c r="C231" i="7"/>
  <c r="H230" i="7"/>
  <c r="C230" i="7"/>
  <c r="H229" i="7"/>
  <c r="C229" i="7"/>
  <c r="H228" i="7"/>
  <c r="C228" i="7"/>
  <c r="H227" i="7"/>
  <c r="C227" i="7"/>
  <c r="H226" i="7"/>
  <c r="C226" i="7"/>
  <c r="H225" i="7"/>
  <c r="C225" i="7"/>
  <c r="H224" i="7"/>
  <c r="C224" i="7"/>
  <c r="H223" i="7"/>
  <c r="C223" i="7"/>
  <c r="H222" i="7"/>
  <c r="C222" i="7"/>
  <c r="H221" i="7"/>
  <c r="C221" i="7"/>
  <c r="H220" i="7"/>
  <c r="C220" i="7"/>
  <c r="H219" i="7"/>
  <c r="C219" i="7"/>
  <c r="H218" i="7"/>
  <c r="C218" i="7"/>
  <c r="H217" i="7"/>
  <c r="C217" i="7"/>
  <c r="H216" i="7"/>
  <c r="C216" i="7"/>
  <c r="H215" i="7"/>
  <c r="C215" i="7"/>
  <c r="H214" i="7"/>
  <c r="C214" i="7"/>
  <c r="H213" i="7"/>
  <c r="C213" i="7"/>
  <c r="H212" i="7"/>
  <c r="C212" i="7"/>
  <c r="H211" i="7"/>
  <c r="C211" i="7"/>
  <c r="H210" i="7"/>
  <c r="C210" i="7"/>
  <c r="H209" i="7"/>
  <c r="C209" i="7"/>
  <c r="H208" i="7"/>
  <c r="C208" i="7"/>
  <c r="H207" i="7"/>
  <c r="C207" i="7"/>
  <c r="H206" i="7"/>
  <c r="C206" i="7"/>
  <c r="H205" i="7"/>
  <c r="C205" i="7"/>
  <c r="H204" i="7"/>
  <c r="C204" i="7"/>
  <c r="H203" i="7"/>
  <c r="C203" i="7"/>
  <c r="H202" i="7"/>
  <c r="C202" i="7"/>
  <c r="H201" i="7"/>
  <c r="C201" i="7"/>
  <c r="H200" i="7"/>
  <c r="C200" i="7"/>
  <c r="H199" i="7"/>
  <c r="C199" i="7"/>
  <c r="H198" i="7"/>
  <c r="C198" i="7"/>
  <c r="H197" i="7"/>
  <c r="C197" i="7"/>
  <c r="H196" i="7"/>
  <c r="C196" i="7"/>
  <c r="H195" i="7"/>
  <c r="C195" i="7"/>
  <c r="H194" i="7"/>
  <c r="C194" i="7"/>
  <c r="H193" i="7"/>
  <c r="C193" i="7"/>
  <c r="H192" i="7"/>
  <c r="C192" i="7"/>
  <c r="H191" i="7"/>
  <c r="C191" i="7"/>
  <c r="H190" i="7"/>
  <c r="C190" i="7"/>
  <c r="H189" i="7"/>
  <c r="C189" i="7"/>
  <c r="H188" i="7"/>
  <c r="C188" i="7"/>
  <c r="H187" i="7"/>
  <c r="C187" i="7"/>
  <c r="H186" i="7"/>
  <c r="C186" i="7"/>
  <c r="H185" i="7"/>
  <c r="C185" i="7"/>
  <c r="H184" i="7"/>
  <c r="C184" i="7"/>
  <c r="H183" i="7"/>
  <c r="C183" i="7"/>
  <c r="H182" i="7"/>
  <c r="C182" i="7"/>
  <c r="H181" i="7"/>
  <c r="C181" i="7"/>
  <c r="H180" i="7"/>
  <c r="C180" i="7"/>
  <c r="H179" i="7"/>
  <c r="C179" i="7"/>
  <c r="H178" i="7"/>
  <c r="C178" i="7"/>
  <c r="H177" i="7"/>
  <c r="C177" i="7"/>
  <c r="H176" i="7"/>
  <c r="C176" i="7"/>
  <c r="H175" i="7"/>
  <c r="C175" i="7"/>
  <c r="H174" i="7"/>
  <c r="C174" i="7"/>
  <c r="H173" i="7"/>
  <c r="C173" i="7"/>
  <c r="H172" i="7"/>
  <c r="C172" i="7"/>
  <c r="H171" i="7"/>
  <c r="C171" i="7"/>
  <c r="H170" i="7"/>
  <c r="C170" i="7"/>
  <c r="H169" i="7"/>
  <c r="C169" i="7"/>
  <c r="H168" i="7"/>
  <c r="C168" i="7"/>
  <c r="H167" i="7"/>
  <c r="C167" i="7"/>
  <c r="H166" i="7"/>
  <c r="C166" i="7"/>
  <c r="H165" i="7"/>
  <c r="C165" i="7"/>
  <c r="H164" i="7"/>
  <c r="C164" i="7"/>
  <c r="H163" i="7"/>
  <c r="C163" i="7"/>
  <c r="H162" i="7"/>
  <c r="C162" i="7"/>
  <c r="H161" i="7"/>
  <c r="C161" i="7"/>
  <c r="H160" i="7"/>
  <c r="C160" i="7"/>
  <c r="H159" i="7"/>
  <c r="C159" i="7"/>
  <c r="H158" i="7"/>
  <c r="C158" i="7"/>
  <c r="H157" i="7"/>
  <c r="C157" i="7"/>
  <c r="H156" i="7"/>
  <c r="C156" i="7"/>
  <c r="H155" i="7"/>
  <c r="C155" i="7"/>
  <c r="H154" i="7"/>
  <c r="C154" i="7"/>
  <c r="H153" i="7"/>
  <c r="C153" i="7"/>
  <c r="H152" i="7"/>
  <c r="C152" i="7"/>
  <c r="H151" i="7"/>
  <c r="C151" i="7"/>
  <c r="H150" i="7"/>
  <c r="C150" i="7"/>
  <c r="H149" i="7"/>
  <c r="C149" i="7"/>
  <c r="H148" i="7"/>
  <c r="C148" i="7"/>
  <c r="H147" i="7"/>
  <c r="C147" i="7"/>
  <c r="H146" i="7"/>
  <c r="C146" i="7"/>
  <c r="H145" i="7"/>
  <c r="C145" i="7"/>
  <c r="H144" i="7"/>
  <c r="C144" i="7"/>
  <c r="H143" i="7"/>
  <c r="C143" i="7"/>
  <c r="H142" i="7"/>
  <c r="C142" i="7"/>
  <c r="H141" i="7"/>
  <c r="C141" i="7"/>
  <c r="H140" i="7"/>
  <c r="C140" i="7"/>
  <c r="H139" i="7"/>
  <c r="C139" i="7"/>
  <c r="H138" i="7"/>
  <c r="C138" i="7"/>
  <c r="H137" i="7"/>
  <c r="C137" i="7"/>
  <c r="H136" i="7"/>
  <c r="C136" i="7"/>
  <c r="H135" i="7"/>
  <c r="C135" i="7"/>
  <c r="H134" i="7"/>
  <c r="C134" i="7"/>
  <c r="H133" i="7"/>
  <c r="C133" i="7"/>
  <c r="H132" i="7"/>
  <c r="C132" i="7"/>
  <c r="H131" i="7"/>
  <c r="C131" i="7"/>
  <c r="H130" i="7"/>
  <c r="C130" i="7"/>
  <c r="H129" i="7"/>
  <c r="C129" i="7"/>
  <c r="H128" i="7"/>
  <c r="C128" i="7"/>
  <c r="H127" i="7"/>
  <c r="C127" i="7"/>
  <c r="H126" i="7"/>
  <c r="C126" i="7"/>
  <c r="H125" i="7"/>
  <c r="C125" i="7"/>
  <c r="H124" i="7"/>
  <c r="C124" i="7"/>
  <c r="H123" i="7"/>
  <c r="C123" i="7"/>
  <c r="H122" i="7"/>
  <c r="C122" i="7"/>
  <c r="H121" i="7"/>
  <c r="C121" i="7"/>
  <c r="H120" i="7"/>
  <c r="C120" i="7"/>
  <c r="H119" i="7"/>
  <c r="C119" i="7"/>
  <c r="H118" i="7"/>
  <c r="C118" i="7"/>
  <c r="H117" i="7"/>
  <c r="C117" i="7"/>
  <c r="H116" i="7"/>
  <c r="C116" i="7"/>
  <c r="H115" i="7"/>
  <c r="C115" i="7"/>
  <c r="H114" i="7"/>
  <c r="C114" i="7"/>
  <c r="H113" i="7"/>
  <c r="C113" i="7"/>
  <c r="H112" i="7"/>
  <c r="C112" i="7"/>
  <c r="H111" i="7"/>
  <c r="C111" i="7"/>
  <c r="H110" i="7"/>
  <c r="C110" i="7"/>
  <c r="H109" i="7"/>
  <c r="C109" i="7"/>
  <c r="H108" i="7"/>
  <c r="C108" i="7"/>
  <c r="H107" i="7"/>
  <c r="C107" i="7"/>
  <c r="H106" i="7"/>
  <c r="C106" i="7"/>
  <c r="H105" i="7"/>
  <c r="C105" i="7"/>
  <c r="H104" i="7"/>
  <c r="C104" i="7"/>
  <c r="H103" i="7"/>
  <c r="C103" i="7"/>
  <c r="H102" i="7"/>
  <c r="C102" i="7"/>
  <c r="H101" i="7"/>
  <c r="C101" i="7"/>
  <c r="H100" i="7"/>
  <c r="C100" i="7"/>
  <c r="H99" i="7"/>
  <c r="C99" i="7"/>
  <c r="H98" i="7"/>
  <c r="C98" i="7"/>
  <c r="H97" i="7"/>
  <c r="C97" i="7"/>
  <c r="H96" i="7"/>
  <c r="C96" i="7"/>
  <c r="H95" i="7"/>
  <c r="C95" i="7"/>
  <c r="H94" i="7"/>
  <c r="C94" i="7"/>
  <c r="H93" i="7"/>
  <c r="C93" i="7"/>
  <c r="H92" i="7"/>
  <c r="C92" i="7"/>
  <c r="H91" i="7"/>
  <c r="C91" i="7"/>
  <c r="H90" i="7"/>
  <c r="C90" i="7"/>
  <c r="H89" i="7"/>
  <c r="C89" i="7"/>
  <c r="H88" i="7"/>
  <c r="C88" i="7"/>
  <c r="H87" i="7"/>
  <c r="C87" i="7"/>
  <c r="H86" i="7"/>
  <c r="C86" i="7"/>
  <c r="H85" i="7"/>
  <c r="C85" i="7"/>
  <c r="H84" i="7"/>
  <c r="C84" i="7"/>
  <c r="H83" i="7"/>
  <c r="C83" i="7"/>
  <c r="H82" i="7"/>
  <c r="C82" i="7"/>
  <c r="H81" i="7"/>
  <c r="C81" i="7"/>
  <c r="H80" i="7"/>
  <c r="C80" i="7"/>
  <c r="H79" i="7"/>
  <c r="C79" i="7"/>
  <c r="H78" i="7"/>
  <c r="C78" i="7"/>
  <c r="H77" i="7"/>
  <c r="C77" i="7"/>
  <c r="H76" i="7"/>
  <c r="C76" i="7"/>
  <c r="H75" i="7"/>
  <c r="C75" i="7"/>
  <c r="H74" i="7"/>
  <c r="C74" i="7"/>
  <c r="H73" i="7"/>
  <c r="C73" i="7"/>
  <c r="H72" i="7"/>
  <c r="C72" i="7"/>
  <c r="H71" i="7"/>
  <c r="C71" i="7"/>
  <c r="H70" i="7"/>
  <c r="C70" i="7"/>
  <c r="H69" i="7"/>
  <c r="C69" i="7"/>
  <c r="H68" i="7"/>
  <c r="C68" i="7"/>
  <c r="H67" i="7"/>
  <c r="C67" i="7"/>
  <c r="H66" i="7"/>
  <c r="C66" i="7"/>
  <c r="H65" i="7"/>
  <c r="C65" i="7"/>
  <c r="H64" i="7"/>
  <c r="C64" i="7"/>
  <c r="H63" i="7"/>
  <c r="C63" i="7"/>
  <c r="H62" i="7"/>
  <c r="C62" i="7"/>
  <c r="H61" i="7"/>
  <c r="C61" i="7"/>
  <c r="H60" i="7"/>
  <c r="C60" i="7"/>
  <c r="H59" i="7"/>
  <c r="C59" i="7"/>
  <c r="H58" i="7"/>
  <c r="C58" i="7"/>
  <c r="H57" i="7"/>
  <c r="C57" i="7"/>
  <c r="H56" i="7"/>
  <c r="C56" i="7"/>
  <c r="H55" i="7"/>
  <c r="C55" i="7"/>
  <c r="H54" i="7"/>
  <c r="C54" i="7"/>
  <c r="H53" i="7"/>
  <c r="C53" i="7"/>
  <c r="H52" i="7"/>
  <c r="C52" i="7"/>
  <c r="H51" i="7"/>
  <c r="C51" i="7"/>
  <c r="H50" i="7"/>
  <c r="C50" i="7"/>
  <c r="H49" i="7"/>
  <c r="C49" i="7"/>
  <c r="H48" i="7"/>
  <c r="C48" i="7"/>
  <c r="H47" i="7"/>
  <c r="C47" i="7"/>
  <c r="H46" i="7"/>
  <c r="C46" i="7"/>
  <c r="H45" i="7"/>
  <c r="C45" i="7"/>
  <c r="H44" i="7"/>
  <c r="C44" i="7"/>
  <c r="H43" i="7"/>
  <c r="C43" i="7"/>
  <c r="H42" i="7"/>
  <c r="C42" i="7"/>
  <c r="H41" i="7"/>
  <c r="C41" i="7"/>
  <c r="H40" i="7"/>
  <c r="C40" i="7"/>
  <c r="H39" i="7"/>
  <c r="C39" i="7"/>
  <c r="H38" i="7"/>
  <c r="C38" i="7"/>
  <c r="H37" i="7"/>
  <c r="C37" i="7"/>
  <c r="H36" i="7"/>
  <c r="C36" i="7"/>
  <c r="H35" i="7"/>
  <c r="C35" i="7"/>
  <c r="H34" i="7"/>
  <c r="C34" i="7"/>
  <c r="H33" i="7"/>
  <c r="C33" i="7"/>
  <c r="H32" i="7"/>
  <c r="C32" i="7"/>
  <c r="H31" i="7"/>
  <c r="C31" i="7"/>
  <c r="H30" i="7"/>
  <c r="C30" i="7"/>
  <c r="H29" i="7"/>
  <c r="C29" i="7"/>
  <c r="H28" i="7"/>
  <c r="C28" i="7"/>
  <c r="H27" i="7"/>
  <c r="C27" i="7"/>
  <c r="H26" i="7"/>
  <c r="C26" i="7"/>
  <c r="H25" i="7"/>
  <c r="C25" i="7"/>
  <c r="H24" i="7"/>
  <c r="C24" i="7"/>
  <c r="H23" i="7"/>
  <c r="C23" i="7"/>
  <c r="H22" i="7"/>
  <c r="C22" i="7"/>
  <c r="H21" i="7"/>
  <c r="C21" i="7"/>
  <c r="H20" i="7"/>
  <c r="C20" i="7"/>
  <c r="H19" i="7"/>
  <c r="C19" i="7"/>
  <c r="H18" i="7"/>
  <c r="C18" i="7"/>
  <c r="H17" i="7"/>
  <c r="C17" i="7"/>
  <c r="H16" i="7"/>
  <c r="C16" i="7"/>
  <c r="H15" i="7"/>
  <c r="C15" i="7"/>
  <c r="H14" i="7"/>
  <c r="C14" i="7"/>
  <c r="H13" i="7"/>
  <c r="C13" i="7"/>
  <c r="H12" i="7"/>
  <c r="C12" i="7"/>
  <c r="H11" i="7"/>
  <c r="C11" i="7"/>
  <c r="H10" i="7"/>
  <c r="C10" i="7"/>
  <c r="H9" i="7"/>
  <c r="C9" i="7"/>
  <c r="H8" i="7"/>
  <c r="C8" i="7"/>
  <c r="H7" i="7"/>
  <c r="C7" i="7"/>
  <c r="H6" i="7"/>
  <c r="C6" i="7"/>
  <c r="H5" i="7"/>
  <c r="C5" i="7"/>
  <c r="H79" i="6"/>
  <c r="C79" i="6"/>
  <c r="H78" i="6"/>
  <c r="C78" i="6"/>
  <c r="H77" i="6"/>
  <c r="C77" i="6"/>
  <c r="H76" i="6"/>
  <c r="C76" i="6"/>
  <c r="H75" i="6"/>
  <c r="C75" i="6"/>
  <c r="H74" i="6"/>
  <c r="C74" i="6"/>
  <c r="H73" i="6"/>
  <c r="C73" i="6"/>
  <c r="H72" i="6"/>
  <c r="C72" i="6"/>
  <c r="H71" i="6"/>
  <c r="C71" i="6"/>
  <c r="H70" i="6"/>
  <c r="C70" i="6"/>
  <c r="H69" i="6"/>
  <c r="C69" i="6"/>
  <c r="H68" i="6"/>
  <c r="C68" i="6"/>
  <c r="H67" i="6"/>
  <c r="C67" i="6"/>
  <c r="H66" i="6"/>
  <c r="C66" i="6"/>
  <c r="H65" i="6"/>
  <c r="C65" i="6"/>
  <c r="H64" i="6"/>
  <c r="C64" i="6"/>
  <c r="H63" i="6"/>
  <c r="C63" i="6"/>
  <c r="H62" i="6"/>
  <c r="C62" i="6"/>
  <c r="H61" i="6"/>
  <c r="C61" i="6"/>
  <c r="H60" i="6"/>
  <c r="C60" i="6"/>
  <c r="H59" i="6"/>
  <c r="C59" i="6"/>
  <c r="H58" i="6"/>
  <c r="C58" i="6"/>
  <c r="H57" i="6"/>
  <c r="C57" i="6"/>
  <c r="H56" i="6"/>
  <c r="C56" i="6"/>
  <c r="H55" i="6"/>
  <c r="C55" i="6"/>
  <c r="H54" i="6"/>
  <c r="C54" i="6"/>
  <c r="H53" i="6"/>
  <c r="C53" i="6"/>
  <c r="H52" i="6"/>
  <c r="C52" i="6"/>
  <c r="H51" i="6"/>
  <c r="C51" i="6"/>
  <c r="H50" i="6"/>
  <c r="C50" i="6"/>
  <c r="H49" i="6"/>
  <c r="C49" i="6"/>
  <c r="H48" i="6"/>
  <c r="C48" i="6"/>
  <c r="H47" i="6"/>
  <c r="C47" i="6"/>
  <c r="H46" i="6"/>
  <c r="C46" i="6"/>
  <c r="H45" i="6"/>
  <c r="C45" i="6"/>
  <c r="H44" i="6"/>
  <c r="C44" i="6"/>
  <c r="H43" i="6"/>
  <c r="C43" i="6"/>
  <c r="H42" i="6"/>
  <c r="C42" i="6"/>
  <c r="H41" i="6"/>
  <c r="C41" i="6"/>
  <c r="H40" i="6"/>
  <c r="C40" i="6"/>
  <c r="H39" i="6"/>
  <c r="C39" i="6"/>
  <c r="H38" i="6"/>
  <c r="C38" i="6"/>
  <c r="H37" i="6"/>
  <c r="C37" i="6"/>
  <c r="H36" i="6"/>
  <c r="C36" i="6"/>
  <c r="H35" i="6"/>
  <c r="C35" i="6"/>
  <c r="H34" i="6"/>
  <c r="C34" i="6"/>
  <c r="H33" i="6"/>
  <c r="C33" i="6"/>
  <c r="H32" i="6"/>
  <c r="C32" i="6"/>
  <c r="H31" i="6"/>
  <c r="C31" i="6"/>
  <c r="H30" i="6"/>
  <c r="C30" i="6"/>
  <c r="H29" i="6"/>
  <c r="C29" i="6"/>
  <c r="H28" i="6"/>
  <c r="C28" i="6"/>
  <c r="H27" i="6"/>
  <c r="C27" i="6"/>
  <c r="H26" i="6"/>
  <c r="C26" i="6"/>
  <c r="H25" i="6"/>
  <c r="C25" i="6"/>
  <c r="H24" i="6"/>
  <c r="C24" i="6"/>
  <c r="H23" i="6"/>
  <c r="C23" i="6"/>
  <c r="H22" i="6"/>
  <c r="C22" i="6"/>
  <c r="H21" i="6"/>
  <c r="C21" i="6"/>
  <c r="H20" i="6"/>
  <c r="C20" i="6"/>
  <c r="H19" i="6"/>
  <c r="C19" i="6"/>
  <c r="H18" i="6"/>
  <c r="C18" i="6"/>
  <c r="H17" i="6"/>
  <c r="C17" i="6"/>
  <c r="H16" i="6"/>
  <c r="C16" i="6"/>
  <c r="H15" i="6"/>
  <c r="C15" i="6"/>
  <c r="H14" i="6"/>
  <c r="C14" i="6"/>
  <c r="H13" i="6"/>
  <c r="C13" i="6"/>
  <c r="H12" i="6"/>
  <c r="C12" i="6"/>
  <c r="H11" i="6"/>
  <c r="C11" i="6"/>
  <c r="H10" i="6"/>
  <c r="C10" i="6"/>
  <c r="H9" i="6"/>
  <c r="C9" i="6"/>
  <c r="H8" i="6"/>
  <c r="C8" i="6"/>
  <c r="H7" i="6"/>
  <c r="C7" i="6"/>
  <c r="H6" i="6"/>
  <c r="C6" i="6"/>
  <c r="H5" i="6"/>
  <c r="C5" i="6"/>
  <c r="B3" i="13"/>
  <c r="B3" i="12"/>
  <c r="B3" i="11"/>
  <c r="B3" i="10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A3" i="12"/>
  <c r="B3" i="9"/>
  <c r="A3" i="9"/>
  <c r="A3" i="6"/>
  <c r="A3" i="8"/>
  <c r="B3" i="8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B3" i="6"/>
  <c r="D3" i="26" l="1"/>
  <c r="D3" i="25"/>
  <c r="H3" i="22"/>
  <c r="H3" i="24"/>
  <c r="D3" i="23"/>
  <c r="D3" i="18"/>
  <c r="H3" i="19"/>
  <c r="D3" i="19"/>
  <c r="D3" i="17"/>
  <c r="H3" i="16"/>
  <c r="D3" i="16"/>
  <c r="H3" i="15"/>
  <c r="D3" i="15"/>
  <c r="H3" i="12" a="1"/>
  <c r="H3" i="12" s="1"/>
  <c r="D3" i="14" l="1"/>
  <c r="D4" i="14" s="1"/>
  <c r="D5" i="14" s="1"/>
  <c r="D6" i="14" s="1"/>
  <c r="D7" i="14" s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H3" i="8" a="1"/>
  <c r="H3" i="8" s="1"/>
  <c r="K35" i="3"/>
  <c r="J35" i="3"/>
  <c r="I35" i="3"/>
  <c r="G35" i="3"/>
  <c r="E35" i="3"/>
  <c r="K34" i="3"/>
  <c r="J34" i="3"/>
  <c r="I34" i="3"/>
  <c r="G34" i="3"/>
  <c r="E34" i="3"/>
  <c r="K33" i="3"/>
  <c r="J33" i="3"/>
  <c r="I33" i="3"/>
  <c r="G33" i="3"/>
  <c r="E33" i="3"/>
  <c r="K32" i="3"/>
  <c r="J32" i="3"/>
  <c r="I32" i="3"/>
  <c r="G32" i="3"/>
  <c r="E32" i="3"/>
  <c r="K31" i="3"/>
  <c r="J31" i="3"/>
  <c r="I31" i="3"/>
  <c r="G31" i="3"/>
  <c r="E31" i="3"/>
  <c r="I30" i="3"/>
  <c r="G30" i="3"/>
  <c r="D30" i="3"/>
  <c r="K29" i="3"/>
  <c r="J29" i="3"/>
  <c r="I29" i="3"/>
  <c r="G29" i="3"/>
  <c r="E29" i="3"/>
  <c r="K28" i="3"/>
  <c r="J28" i="3" s="1"/>
  <c r="I28" i="3"/>
  <c r="G28" i="3"/>
  <c r="E28" i="3"/>
  <c r="K27" i="3"/>
  <c r="J27" i="3" s="1"/>
  <c r="I27" i="3"/>
  <c r="G27" i="3"/>
  <c r="E27" i="3"/>
  <c r="C27" i="3"/>
  <c r="C31" i="3" s="1"/>
  <c r="I26" i="3"/>
  <c r="F26" i="3"/>
  <c r="E26" i="3"/>
  <c r="C26" i="3"/>
  <c r="C30" i="3" s="1"/>
  <c r="K25" i="3"/>
  <c r="J25" i="3"/>
  <c r="I25" i="3"/>
  <c r="G25" i="3"/>
  <c r="E25" i="3"/>
  <c r="C25" i="3"/>
  <c r="C29" i="3" s="1"/>
  <c r="K24" i="3"/>
  <c r="J24" i="3"/>
  <c r="I24" i="3"/>
  <c r="G24" i="3"/>
  <c r="E24" i="3"/>
  <c r="C24" i="3"/>
  <c r="C28" i="3" s="1"/>
  <c r="C32" i="3" s="1"/>
  <c r="K23" i="3"/>
  <c r="J23" i="3"/>
  <c r="I23" i="3"/>
  <c r="H23" i="3"/>
  <c r="G23" i="3"/>
  <c r="E23" i="3"/>
  <c r="K22" i="3"/>
  <c r="J22" i="3" s="1"/>
  <c r="I22" i="3"/>
  <c r="G22" i="3"/>
  <c r="E22" i="3"/>
  <c r="K21" i="3"/>
  <c r="J21" i="3"/>
  <c r="I21" i="3"/>
  <c r="G21" i="3"/>
  <c r="E21" i="3"/>
  <c r="K20" i="3"/>
  <c r="J20" i="3" s="1"/>
  <c r="I20" i="3"/>
  <c r="G20" i="3"/>
  <c r="E20" i="3"/>
  <c r="K19" i="3"/>
  <c r="J19" i="3" s="1"/>
  <c r="I19" i="3"/>
  <c r="G19" i="3"/>
  <c r="E19" i="3"/>
  <c r="K18" i="3"/>
  <c r="J18" i="3" s="1"/>
  <c r="I18" i="3"/>
  <c r="G18" i="3"/>
  <c r="E18" i="3"/>
  <c r="K17" i="3"/>
  <c r="J17" i="3"/>
  <c r="O17" i="3" s="1"/>
  <c r="I17" i="3"/>
  <c r="G17" i="3"/>
  <c r="E17" i="3"/>
  <c r="K16" i="3"/>
  <c r="J16" i="3" s="1"/>
  <c r="I16" i="3"/>
  <c r="G16" i="3"/>
  <c r="E16" i="3"/>
  <c r="J15" i="3"/>
  <c r="H15" i="3"/>
  <c r="I15" i="3" s="1"/>
  <c r="G15" i="3"/>
  <c r="F15" i="3"/>
  <c r="D15" i="3"/>
  <c r="E15" i="3" s="1"/>
  <c r="K14" i="3"/>
  <c r="J14" i="3" s="1"/>
  <c r="I14" i="3"/>
  <c r="G14" i="3"/>
  <c r="E14" i="3"/>
  <c r="K13" i="3"/>
  <c r="J13" i="3" s="1"/>
  <c r="I13" i="3"/>
  <c r="G13" i="3"/>
  <c r="E13" i="3"/>
  <c r="K12" i="3"/>
  <c r="J12" i="3" s="1"/>
  <c r="I12" i="3"/>
  <c r="G12" i="3"/>
  <c r="E12" i="3"/>
  <c r="K11" i="3"/>
  <c r="J11" i="3" s="1"/>
  <c r="I11" i="3"/>
  <c r="G11" i="3"/>
  <c r="E11" i="3"/>
  <c r="K10" i="3"/>
  <c r="J10" i="3" s="1"/>
  <c r="I10" i="3"/>
  <c r="G10" i="3"/>
  <c r="E10" i="3"/>
  <c r="H3" i="9" l="1" a="1"/>
  <c r="H3" i="9" s="1"/>
  <c r="K26" i="3"/>
  <c r="J26" i="3" s="1"/>
  <c r="G26" i="3"/>
  <c r="C33" i="3"/>
  <c r="C34" i="3" s="1"/>
  <c r="C35" i="3" s="1"/>
  <c r="K30" i="3"/>
  <c r="J30" i="3" s="1"/>
  <c r="E30" i="3"/>
  <c r="H3" i="6" l="1" a="1"/>
  <c r="H3" i="6" s="1"/>
  <c r="H3" i="7" l="1" a="1"/>
  <c r="H3" i="7" s="1"/>
  <c r="A3" i="10" l="1"/>
  <c r="H3" i="10" l="1" a="1"/>
  <c r="H3" i="10" s="1"/>
  <c r="D3" i="12" a="1"/>
  <c r="D3" i="12" s="1"/>
  <c r="A3" i="11" l="1"/>
  <c r="H3" i="11" l="1" a="1"/>
  <c r="H3" i="11" s="1"/>
  <c r="D3" i="11" a="1"/>
  <c r="D3" i="11" s="1"/>
  <c r="A3" i="13" l="1"/>
  <c r="H3" i="13" s="1" a="1"/>
  <c r="H3" i="13" s="1"/>
  <c r="B3" i="7" l="1"/>
  <c r="D3" i="13" a="1"/>
  <c r="D3" i="13" s="1"/>
  <c r="D3" i="10" l="1" a="1"/>
  <c r="D3" i="10" s="1"/>
  <c r="D3" i="9" a="1"/>
  <c r="D3" i="9" s="1"/>
  <c r="D3" i="8" a="1"/>
  <c r="D3" i="8" s="1"/>
  <c r="D3" i="7" a="1"/>
  <c r="D3" i="7" s="1"/>
  <c r="D3" i="6" a="1"/>
  <c r="D3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6" authorId="0" shapeId="0" xr:uid="{00000000-0006-0000-0200-000003000000}">
      <text>
        <r>
          <rPr>
            <sz val="10"/>
            <color rgb="FF000000"/>
            <rFont val="Arial"/>
            <family val="2"/>
            <scheme val="minor"/>
          </rPr>
          <t>======
ID#AAAAIq2uWxQ
Suthar, Vijay    (2021-06-05 17:10:24)
Split between Nez and SutharEspinoza</t>
        </r>
      </text>
    </comment>
    <comment ref="D30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======
ID#AAAAIq2uW0I
Suthar, Vijay    (2021-06-05 17:10:24)
Some looks wrong - too high - must have included sec deposit</t>
        </r>
      </text>
    </comment>
    <comment ref="D31" authorId="0" shapeId="0" xr:uid="{00000000-0006-0000-0200-000002000000}">
      <text>
        <r>
          <rPr>
            <sz val="10"/>
            <color rgb="FF000000"/>
            <rFont val="Arial"/>
            <family val="2"/>
            <scheme val="minor"/>
          </rPr>
          <t>======
ID#AAAAIq2uW0E
Suthar, Vijay    (2021-06-05 17:10:24)
Adjust for sec deposit included previous quarter and addl payment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kZNP3S9LaERTlzuHgcy1lc95RPw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Vijay Suthar</author>
  </authors>
  <commentList>
    <comment ref="F140" authorId="0" shapeId="0" xr:uid="{A37F1A08-B2FF-41AC-93FF-4F14225B8459}">
      <text>
        <r>
          <rPr>
            <b/>
            <sz val="9"/>
            <color indexed="81"/>
            <rFont val="Tahoma"/>
            <family val="2"/>
          </rPr>
          <t>Vijay Suthar:</t>
        </r>
        <r>
          <rPr>
            <sz val="9"/>
            <color indexed="81"/>
            <rFont val="Tahoma"/>
            <family val="2"/>
          </rPr>
          <t xml:space="preserve">
Not sure about this - had to do this to get to balance.   Got corrupted somehow.   7/2/22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1o+xCPpXP0xiUyVTTL2p0JiCXpg=="/>
    </ext>
  </extL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<sst xmlns="http://schemas.openxmlformats.org/spreadsheetml/2006/main" count="2201" uniqueCount="726">
  <si>
    <t>NOTE:  Do not include cleaning/ security deposit</t>
  </si>
  <si>
    <t xml:space="preserve">License :  </t>
  </si>
  <si>
    <t>Use Tax</t>
  </si>
  <si>
    <t>For Priv Tax - realize the rent was short but just pay the full priv tax this quarter to keep bookkeeping easy .</t>
  </si>
  <si>
    <t>Gross Receipts</t>
  </si>
  <si>
    <t>Tax Due</t>
  </si>
  <si>
    <t>Paid (from website)</t>
  </si>
  <si>
    <t>Filed Date</t>
  </si>
  <si>
    <t>Paid Date</t>
  </si>
  <si>
    <t>Az code</t>
  </si>
  <si>
    <t>Year</t>
  </si>
  <si>
    <t>Tax %</t>
  </si>
  <si>
    <t>Priv Tax</t>
  </si>
  <si>
    <t>Collected</t>
  </si>
  <si>
    <t>Q3'13</t>
  </si>
  <si>
    <t>Q4'13</t>
  </si>
  <si>
    <t>Q1'14</t>
  </si>
  <si>
    <t>Q2'14</t>
  </si>
  <si>
    <t>Q3'14</t>
  </si>
  <si>
    <t>Maybe should have used 1.8%?</t>
  </si>
  <si>
    <t>Q4'14</t>
  </si>
  <si>
    <t>2014 Total</t>
  </si>
  <si>
    <t>Q1'15</t>
  </si>
  <si>
    <t>Q2'15</t>
  </si>
  <si>
    <t>Q3'15</t>
  </si>
  <si>
    <t>Include all income collected per website (includes late fees and nonrefundable deposits)</t>
  </si>
  <si>
    <t>Q4'15</t>
  </si>
  <si>
    <t>Q1'16</t>
  </si>
  <si>
    <t>Q2'16</t>
  </si>
  <si>
    <t>Q3'16</t>
  </si>
  <si>
    <t>START INCLUDING LATE FEES :( - originally right - take all income -tax collected and tax that</t>
  </si>
  <si>
    <t>Q4'16</t>
  </si>
  <si>
    <t xml:space="preserve">CHROME GIVES ERROR WHEN LOGIN IN - Pay at aztaxes.gov; login (see file);   </t>
  </si>
  <si>
    <t>Select Business by "View"</t>
  </si>
  <si>
    <t>Click on File - TPT and Use Return</t>
  </si>
  <si>
    <t>Select property one by one - code above and enter gross amounts by editing item</t>
  </si>
  <si>
    <t>Pay by ACH - might have to be several days out.</t>
  </si>
  <si>
    <t>Pay by Union bank</t>
  </si>
  <si>
    <t xml:space="preserve">UB Route:  </t>
  </si>
  <si>
    <t>Act #: 2451048793</t>
  </si>
  <si>
    <t>Current Balance</t>
  </si>
  <si>
    <t>Lease Expires</t>
  </si>
  <si>
    <t>Month</t>
  </si>
  <si>
    <t>Date</t>
  </si>
  <si>
    <t>Transaction</t>
  </si>
  <si>
    <t>Credit</t>
  </si>
  <si>
    <t>Charges</t>
  </si>
  <si>
    <t>Balance Due</t>
  </si>
  <si>
    <t>Security Deposit</t>
  </si>
  <si>
    <t>Payment Received</t>
  </si>
  <si>
    <t>Late Fee</t>
  </si>
  <si>
    <t>Pet Fee - NONREFUNDABLE</t>
  </si>
  <si>
    <t>Credit - Refrigerator purchase</t>
  </si>
  <si>
    <t xml:space="preserve">NON-REFUNDABLE PET FEE </t>
  </si>
  <si>
    <t>Type</t>
  </si>
  <si>
    <t>Rent - Partial for Nov 12-30</t>
  </si>
  <si>
    <t>Credit - carbon monoxidedetector</t>
  </si>
  <si>
    <t>Credit - Garage Door Repair</t>
  </si>
  <si>
    <t>NONREFUNDABLE PET FEE</t>
  </si>
  <si>
    <t>Tax</t>
  </si>
  <si>
    <t>Cleaning Deposit - non refundable</t>
  </si>
  <si>
    <t>Payment received - Move in</t>
  </si>
  <si>
    <t>Payment received</t>
  </si>
  <si>
    <t>Credit - Cleanup of house - own maids</t>
  </si>
  <si>
    <t>Non refundable cleaning fee</t>
  </si>
  <si>
    <t>Non refundable pet cleaning fee</t>
  </si>
  <si>
    <t>Pro-rate Rent - 2/21 - 2/29</t>
  </si>
  <si>
    <t>Payment Received - Lease Signing deposit</t>
  </si>
  <si>
    <t>Cleaning Fee - Nonrefundable</t>
  </si>
  <si>
    <t>Late Fee - Aug</t>
  </si>
  <si>
    <t>Late Fee - Sep</t>
  </si>
  <si>
    <t xml:space="preserve">Check - help </t>
  </si>
  <si>
    <t xml:space="preserve">Security Deposit Refunable </t>
  </si>
  <si>
    <t>Cleaning Deposit - NONREFUNDABLE</t>
  </si>
  <si>
    <t>Advance for garage entry door replacement</t>
  </si>
  <si>
    <t>Credit for Jan rent - no washer provided / just dryer</t>
  </si>
  <si>
    <t>Credit Receipt 1</t>
  </si>
  <si>
    <t>Credit Receipt 2</t>
  </si>
  <si>
    <t>Credit Receipt 3</t>
  </si>
  <si>
    <t>Credit Receipt 4</t>
  </si>
  <si>
    <t>Credit Receipt 5</t>
  </si>
  <si>
    <t>Credit Receipt 6</t>
  </si>
  <si>
    <t>Credit - Toilet Tank</t>
  </si>
  <si>
    <t>Credit - Heat Repair (Jan21)</t>
  </si>
  <si>
    <t>Repairs - Garage door new</t>
  </si>
  <si>
    <t>Supplies - Garage door paint and patio paint</t>
  </si>
  <si>
    <t>Pet Cleaning Deposit - non refundable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</si>
  <si>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</si>
  <si>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</si>
  <si>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</si>
  <si>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</si>
  <si>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</si>
  <si>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</si>
  <si>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</si>
  <si>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</si>
  <si>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</si>
  <si>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</si>
  <si>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</si>
  <si>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</si>
  <si>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Credit - AC Capacitor - he paid</t>
  </si>
  <si>
    <t>Fee Parking violation</t>
  </si>
  <si>
    <t>Fee:   Parking violation admin fee</t>
  </si>
  <si>
    <t>Late Fee Dec ($35 first day the 6th  + $10/day after)</t>
  </si>
  <si>
    <t>Credit - New Toilet Seat</t>
  </si>
  <si>
    <t>Grace Period (days)</t>
  </si>
  <si>
    <t>Velia Jada</t>
  </si>
  <si>
    <t>Lily Rosa</t>
  </si>
  <si>
    <t>Address</t>
  </si>
  <si>
    <t>Fiorenza Josepe</t>
  </si>
  <si>
    <t>Berko Betul, Shreya Anna</t>
  </si>
  <si>
    <t>Afi Yemelyan</t>
  </si>
  <si>
    <t>Dalila Anik</t>
  </si>
  <si>
    <t>Klara Ablus, Pualino Alik</t>
  </si>
  <si>
    <t xml:space="preserve">1029 Elm St St Louis, Mo </t>
  </si>
  <si>
    <t>Tenant</t>
  </si>
  <si>
    <t>35736 West Maple Lane Leland, NC 28451</t>
  </si>
  <si>
    <t>2592 Devon Drive North Wales, PA 19454</t>
  </si>
  <si>
    <t>5436 Green St. Milton, MA 02186</t>
  </si>
  <si>
    <t>932 Longfellow Drive Londonderry, NH 03053</t>
  </si>
  <si>
    <t>Tentant</t>
  </si>
  <si>
    <t>2614 Bank St. Lagrange, GA 30240</t>
  </si>
  <si>
    <t>8995 Walt Whitman St. Gallatin, TN 37066</t>
  </si>
  <si>
    <t>Gabriela Rica, Susanne Ramona</t>
  </si>
  <si>
    <t>9001 Walnutwood Ave. Rock Hill, SC 29730</t>
  </si>
  <si>
    <t>1/30/2020</t>
  </si>
  <si>
    <t>2/8/2020</t>
  </si>
  <si>
    <t>Rent: Feb '2020</t>
  </si>
  <si>
    <t>2/19/2020</t>
  </si>
  <si>
    <t>3/8/2020</t>
  </si>
  <si>
    <t>Rent: Mar '2020</t>
  </si>
  <si>
    <t>3/5/2020</t>
  </si>
  <si>
    <t>4/8/2020</t>
  </si>
  <si>
    <t>Rent: Apr '2020</t>
  </si>
  <si>
    <t>4/6/2020</t>
  </si>
  <si>
    <t>5/8/2020</t>
  </si>
  <si>
    <t>Rent: May '2020</t>
  </si>
  <si>
    <t>5/5/2020</t>
  </si>
  <si>
    <t>6/8/2020</t>
  </si>
  <si>
    <t>Rent: Jun '2020</t>
  </si>
  <si>
    <t>6/4/2020</t>
  </si>
  <si>
    <t>6/13/2020</t>
  </si>
  <si>
    <t>7/8/2020</t>
  </si>
  <si>
    <t>Rent: Jul '2020</t>
  </si>
  <si>
    <t>7/6/2020</t>
  </si>
  <si>
    <t>8/8/2020</t>
  </si>
  <si>
    <t>Rent: Aug '2020</t>
  </si>
  <si>
    <t>8/6/2020</t>
  </si>
  <si>
    <t>9/8/2020</t>
  </si>
  <si>
    <t>Rent: Sep '2020</t>
  </si>
  <si>
    <t>9/4/2020</t>
  </si>
  <si>
    <t>10/8/2020</t>
  </si>
  <si>
    <t>Rent: Oct '2020</t>
  </si>
  <si>
    <t>10/6/2020</t>
  </si>
  <si>
    <t>11/8/2020</t>
  </si>
  <si>
    <t>Rent: Nov '2020</t>
  </si>
  <si>
    <t>11/6/2020</t>
  </si>
  <si>
    <t>12/8/2020</t>
  </si>
  <si>
    <t>Rent: Dec '2020</t>
  </si>
  <si>
    <t>12/4/2020</t>
  </si>
  <si>
    <t>1/8/2020</t>
  </si>
  <si>
    <t>Rent: Jan '2020</t>
  </si>
  <si>
    <t>1/6/2021</t>
  </si>
  <si>
    <t>2/8/2021</t>
  </si>
  <si>
    <t>Rent: Feb '2021</t>
  </si>
  <si>
    <t>2/5/2021</t>
  </si>
  <si>
    <t>3/8/2021</t>
  </si>
  <si>
    <t>Rent: Mar '2021</t>
  </si>
  <si>
    <t>3/5/2021</t>
  </si>
  <si>
    <t>4/8/2021</t>
  </si>
  <si>
    <t>Rent: Apr '2021</t>
  </si>
  <si>
    <t>4/5/2021</t>
  </si>
  <si>
    <t>5/8/2021</t>
  </si>
  <si>
    <t>Rent: May '2021</t>
  </si>
  <si>
    <t>5/5/2021</t>
  </si>
  <si>
    <t>6/8/2021</t>
  </si>
  <si>
    <t>Rent: Jun '2021</t>
  </si>
  <si>
    <t>6/7/2021</t>
  </si>
  <si>
    <t>7/8/2021</t>
  </si>
  <si>
    <t>Rent: Jul '2021</t>
  </si>
  <si>
    <t>7/6/2021</t>
  </si>
  <si>
    <t>8/8/2021</t>
  </si>
  <si>
    <t>Rent: Aug '2021</t>
  </si>
  <si>
    <t>8/5/2021</t>
  </si>
  <si>
    <t>9/8/2021</t>
  </si>
  <si>
    <t>Rent: Sep '2021</t>
  </si>
  <si>
    <t>9/3/2021</t>
  </si>
  <si>
    <t>10/8/2021</t>
  </si>
  <si>
    <t>Rent: Oct '2021</t>
  </si>
  <si>
    <t>10/7/2021</t>
  </si>
  <si>
    <t>11/8/2021</t>
  </si>
  <si>
    <t>Rent: Nov '2021</t>
  </si>
  <si>
    <t>11/5/2021</t>
  </si>
  <si>
    <t>12/8/2021</t>
  </si>
  <si>
    <t>Rent: Dec '2021</t>
  </si>
  <si>
    <t>12/6/2021</t>
  </si>
  <si>
    <t>1/8/2022</t>
  </si>
  <si>
    <t>Rent: Jan '2022</t>
  </si>
  <si>
    <t>1/7/2022</t>
  </si>
  <si>
    <t>2/8/2022</t>
  </si>
  <si>
    <t>Rent: Feb '2022</t>
  </si>
  <si>
    <t>2/4/2022</t>
  </si>
  <si>
    <t>3/8/2022</t>
  </si>
  <si>
    <t>Rent: Mar '2022</t>
  </si>
  <si>
    <t>3/7/2022</t>
  </si>
  <si>
    <t>4/8/2022</t>
  </si>
  <si>
    <t>Rent: Apr '2022</t>
  </si>
  <si>
    <t>4/6/2022</t>
  </si>
  <si>
    <t>5/8/2022</t>
  </si>
  <si>
    <t>Rent: May '2022</t>
  </si>
  <si>
    <t>5/6/2022</t>
  </si>
  <si>
    <t>6/8/2022</t>
  </si>
  <si>
    <t>Rent: Jun '2022</t>
  </si>
  <si>
    <t>6/6/2022</t>
  </si>
  <si>
    <t>7/8/2022</t>
  </si>
  <si>
    <t>Rent: Jul '2022</t>
  </si>
  <si>
    <t>7/7/2022</t>
  </si>
  <si>
    <t>8/8/2022</t>
  </si>
  <si>
    <t>Rent: Aug '2022</t>
  </si>
  <si>
    <t>8/5/2022</t>
  </si>
  <si>
    <t>9/8/2022</t>
  </si>
  <si>
    <t>Rent: Sep '2022</t>
  </si>
  <si>
    <t>9/6/2022</t>
  </si>
  <si>
    <t>10/8/2022</t>
  </si>
  <si>
    <t>Rent: Oct '2022</t>
  </si>
  <si>
    <t>10/6/2022</t>
  </si>
  <si>
    <t>11/8/2022</t>
  </si>
  <si>
    <t>Rent: Nov '2022</t>
  </si>
  <si>
    <t>11/4/2022</t>
  </si>
  <si>
    <t>12/8/2022</t>
  </si>
  <si>
    <t>Rent: Dec '2022</t>
  </si>
  <si>
    <t>12/5/2022</t>
  </si>
  <si>
    <t>10/30/2015</t>
  </si>
  <si>
    <t>11/12/2015</t>
  </si>
  <si>
    <t>12/1/2015</t>
  </si>
  <si>
    <t>Rent: Dec '2015</t>
  </si>
  <si>
    <t>1/1/2016</t>
  </si>
  <si>
    <t>Rent: Jan '2016</t>
  </si>
  <si>
    <t>1/4/2016</t>
  </si>
  <si>
    <t>1/5/2016</t>
  </si>
  <si>
    <t>1/7/2016</t>
  </si>
  <si>
    <t>2/1/2016</t>
  </si>
  <si>
    <t>Rent: Feb '2016</t>
  </si>
  <si>
    <t>3/1/2016</t>
  </si>
  <si>
    <t>Rent: Mar '2016</t>
  </si>
  <si>
    <t>2/29/2016</t>
  </si>
  <si>
    <t>4/1/2016</t>
  </si>
  <si>
    <t>Rent: Apr '2016</t>
  </si>
  <si>
    <t>3/31/2016</t>
  </si>
  <si>
    <t>5/1/2016</t>
  </si>
  <si>
    <t>Rent: May '2016</t>
  </si>
  <si>
    <t>5/2/2016</t>
  </si>
  <si>
    <t>6/1/2016</t>
  </si>
  <si>
    <t>Rent: Jun '2016</t>
  </si>
  <si>
    <t>6/2/2016</t>
  </si>
  <si>
    <t>7/1/2016</t>
  </si>
  <si>
    <t>Rent: Jul '2016</t>
  </si>
  <si>
    <t>6/30/2016</t>
  </si>
  <si>
    <t>8/1/2016</t>
  </si>
  <si>
    <t>Rent: Aug '2016</t>
  </si>
  <si>
    <t>9/1/2016</t>
  </si>
  <si>
    <t>Rent: Sep '2016</t>
  </si>
  <si>
    <t>10/1/2016</t>
  </si>
  <si>
    <t>Rent: Oct '2016</t>
  </si>
  <si>
    <t>10/3/2016</t>
  </si>
  <si>
    <t>11/1/2016</t>
  </si>
  <si>
    <t>Rent: Nov '2016</t>
  </si>
  <si>
    <t>12/1/2016</t>
  </si>
  <si>
    <t>Rent: Dec '2016</t>
  </si>
  <si>
    <t>1/1/2017</t>
  </si>
  <si>
    <t>Rent: Jan '2017</t>
  </si>
  <si>
    <t>12/30/2016</t>
  </si>
  <si>
    <t>2/1/2017</t>
  </si>
  <si>
    <t>Rent: Feb '2017</t>
  </si>
  <si>
    <t>3/1/2017</t>
  </si>
  <si>
    <t>Rent: Mar '2017</t>
  </si>
  <si>
    <t>4/1/2017</t>
  </si>
  <si>
    <t>Rent: Apr '2017</t>
  </si>
  <si>
    <t>3/31/2017</t>
  </si>
  <si>
    <t>5/1/2017</t>
  </si>
  <si>
    <t>Rent: May '2017</t>
  </si>
  <si>
    <t>6/1/2017</t>
  </si>
  <si>
    <t>Rent: Jun '2017</t>
  </si>
  <si>
    <t>7/1/2017</t>
  </si>
  <si>
    <t>Rent: Jul '2017</t>
  </si>
  <si>
    <t>6/30/2017</t>
  </si>
  <si>
    <t>8/1/2017</t>
  </si>
  <si>
    <t>Rent: Aug '2017</t>
  </si>
  <si>
    <t>9/1/2017</t>
  </si>
  <si>
    <t>Rent: Sep '2017</t>
  </si>
  <si>
    <t>10/1/2017</t>
  </si>
  <si>
    <t>Rent: Oct '2017</t>
  </si>
  <si>
    <t>10/2/2017</t>
  </si>
  <si>
    <t>11/1/2017</t>
  </si>
  <si>
    <t>Rent: Nov '2017</t>
  </si>
  <si>
    <t>12/1/2017</t>
  </si>
  <si>
    <t>Rent: Dec '2017</t>
  </si>
  <si>
    <t>1/1/2018</t>
  </si>
  <si>
    <t>Rent: Jan '2018</t>
  </si>
  <si>
    <t>12/29/2017</t>
  </si>
  <si>
    <t>1/2/2018</t>
  </si>
  <si>
    <t>2/1/2018</t>
  </si>
  <si>
    <t>Rent: Feb '2018</t>
  </si>
  <si>
    <t>1/31/2018</t>
  </si>
  <si>
    <t>2/2/2018</t>
  </si>
  <si>
    <t>2/5/2018</t>
  </si>
  <si>
    <t>3/1/2018</t>
  </si>
  <si>
    <t>Rent: Mar '2018</t>
  </si>
  <si>
    <t>2/27/2018</t>
  </si>
  <si>
    <t>2/28/2018</t>
  </si>
  <si>
    <t>4/1/2018</t>
  </si>
  <si>
    <t>Rent: Apr '2018</t>
  </si>
  <si>
    <t>3/29/2018</t>
  </si>
  <si>
    <t>3/30/2018</t>
  </si>
  <si>
    <t>3/15/2018</t>
  </si>
  <si>
    <t>5/1/2018</t>
  </si>
  <si>
    <t>Rent: May '2018</t>
  </si>
  <si>
    <t>4/30/2018</t>
  </si>
  <si>
    <t>6/1/2018</t>
  </si>
  <si>
    <t>Rent: Jun '2018</t>
  </si>
  <si>
    <t>5/30/2018</t>
  </si>
  <si>
    <t>5/31/2018</t>
  </si>
  <si>
    <t>7/1/2018</t>
  </si>
  <si>
    <t>Rent: Jul '2018</t>
  </si>
  <si>
    <t>7/2/2018</t>
  </si>
  <si>
    <t>8/1/2018</t>
  </si>
  <si>
    <t>Rent: Aug '2018</t>
  </si>
  <si>
    <t>7/30/2018</t>
  </si>
  <si>
    <t>7/31/2018</t>
  </si>
  <si>
    <t>9/1/2018</t>
  </si>
  <si>
    <t>Rent: Sep '2018</t>
  </si>
  <si>
    <t>8/31/2018</t>
  </si>
  <si>
    <t>10/1/2018</t>
  </si>
  <si>
    <t>Rent: Oct '2018</t>
  </si>
  <si>
    <t>11/1/2018</t>
  </si>
  <si>
    <t>Rent: Nov '2018</t>
  </si>
  <si>
    <t>10/31/2018</t>
  </si>
  <si>
    <t>12/1/2018</t>
  </si>
  <si>
    <t>Rent: Dec '2018</t>
  </si>
  <si>
    <t>11/30/2018</t>
  </si>
  <si>
    <t>12/3/2018</t>
  </si>
  <si>
    <t>12/31/2018</t>
  </si>
  <si>
    <t>2/1/2019</t>
  </si>
  <si>
    <t>Rent: Feb '2019</t>
  </si>
  <si>
    <t>1/31/2009</t>
  </si>
  <si>
    <t>3/1/2009</t>
  </si>
  <si>
    <t>Rent: Mar '2009</t>
  </si>
  <si>
    <t>2/28/2019</t>
  </si>
  <si>
    <t>3/1/2019</t>
  </si>
  <si>
    <t>4/1/2019</t>
  </si>
  <si>
    <t>Rent: Apr '2019</t>
  </si>
  <si>
    <t>5/1/2019</t>
  </si>
  <si>
    <t>Rent: May '2019</t>
  </si>
  <si>
    <t>4/30/2019</t>
  </si>
  <si>
    <t>6/1/2019</t>
  </si>
  <si>
    <t>Rent: Jun '2019</t>
  </si>
  <si>
    <t>5/31/2019</t>
  </si>
  <si>
    <t>6/3/2019</t>
  </si>
  <si>
    <t>7/1/2019</t>
  </si>
  <si>
    <t>Rent: Jul '2019</t>
  </si>
  <si>
    <t>8/1/2019</t>
  </si>
  <si>
    <t>Rent: Aug '2019</t>
  </si>
  <si>
    <t>7/31/2019</t>
  </si>
  <si>
    <t>9/1/2019</t>
  </si>
  <si>
    <t>Rent: Sep '2019</t>
  </si>
  <si>
    <t>9/3/2019</t>
  </si>
  <si>
    <t>10/1/2019</t>
  </si>
  <si>
    <t>Rent: Oct '2019</t>
  </si>
  <si>
    <t>9/30/2019</t>
  </si>
  <si>
    <t>11/1/2019</t>
  </si>
  <si>
    <t>Rent: Nov '2019</t>
  </si>
  <si>
    <t>10/31/2019</t>
  </si>
  <si>
    <t>12/1/2019</t>
  </si>
  <si>
    <t>Rent: Dec '2019</t>
  </si>
  <si>
    <t>12/2/2019</t>
  </si>
  <si>
    <t>1/1/2020</t>
  </si>
  <si>
    <t>12/30/2019</t>
  </si>
  <si>
    <t>12/31/2019</t>
  </si>
  <si>
    <t>2/1/2020</t>
  </si>
  <si>
    <t>1/31/2020</t>
  </si>
  <si>
    <t>2/3/2020</t>
  </si>
  <si>
    <t>3/1/2020</t>
  </si>
  <si>
    <t>3/2/2020</t>
  </si>
  <si>
    <t>4/1/2020</t>
  </si>
  <si>
    <t>3/31/2020</t>
  </si>
  <si>
    <t>5/1/2020</t>
  </si>
  <si>
    <t>4/30/2020</t>
  </si>
  <si>
    <t>6/1/2020</t>
  </si>
  <si>
    <t>7/1/2020</t>
  </si>
  <si>
    <t>6/30/2020</t>
  </si>
  <si>
    <t>8/4/2020</t>
  </si>
  <si>
    <t>8/1/2020</t>
  </si>
  <si>
    <t>7/31/2020</t>
  </si>
  <si>
    <t>8/3/2020</t>
  </si>
  <si>
    <t>9/1/2020</t>
  </si>
  <si>
    <t>8/31/2020</t>
  </si>
  <si>
    <t>10/1/2020</t>
  </si>
  <si>
    <t>9/30/2020</t>
  </si>
  <si>
    <t>11/1/2020</t>
  </si>
  <si>
    <t>11/2/2020</t>
  </si>
  <si>
    <t>12/1/2020</t>
  </si>
  <si>
    <t>11/30/2020</t>
  </si>
  <si>
    <t>1/1/2021</t>
  </si>
  <si>
    <t>Rent: Jan '2021</t>
  </si>
  <si>
    <t>12/30/2020</t>
  </si>
  <si>
    <t>12/31/2020</t>
  </si>
  <si>
    <t>2/1/2021</t>
  </si>
  <si>
    <t>3/1/2021</t>
  </si>
  <si>
    <t>4/1/2021</t>
  </si>
  <si>
    <t>3/31/2021</t>
  </si>
  <si>
    <t>5/1/2021</t>
  </si>
  <si>
    <t>4/30/2021</t>
  </si>
  <si>
    <t>5/3/2021</t>
  </si>
  <si>
    <t>6/1/2021</t>
  </si>
  <si>
    <t>7/1/2021</t>
  </si>
  <si>
    <t>6/30/2021</t>
  </si>
  <si>
    <t>7/2/2021</t>
  </si>
  <si>
    <t>8/1/2021</t>
  </si>
  <si>
    <t>8/2/2021</t>
  </si>
  <si>
    <t>9/1/2021</t>
  </si>
  <si>
    <t>8/31/2021</t>
  </si>
  <si>
    <t>10/1/2021</t>
  </si>
  <si>
    <t>9/30/2021</t>
  </si>
  <si>
    <t>11/1/2021</t>
  </si>
  <si>
    <t>11/2/2021</t>
  </si>
  <si>
    <t>12/1/2021</t>
  </si>
  <si>
    <t>11/30/2021</t>
  </si>
  <si>
    <t>1/1/2022</t>
  </si>
  <si>
    <t>12/24/2021</t>
  </si>
  <si>
    <t>12/28/2021</t>
  </si>
  <si>
    <t>2/1/2022</t>
  </si>
  <si>
    <t>1/31/2022</t>
  </si>
  <si>
    <t>3/1/2022</t>
  </si>
  <si>
    <t>2/28/2022</t>
  </si>
  <si>
    <t>4/1/2022</t>
  </si>
  <si>
    <t>3/31/2022</t>
  </si>
  <si>
    <t>5/1/2022</t>
  </si>
  <si>
    <t>5/2/2022</t>
  </si>
  <si>
    <t>6/1/2022</t>
  </si>
  <si>
    <t>5/31/2022</t>
  </si>
  <si>
    <t>7/1/2022</t>
  </si>
  <si>
    <t>6/30/2022</t>
  </si>
  <si>
    <t>8/1/2022</t>
  </si>
  <si>
    <t>9/1/2022</t>
  </si>
  <si>
    <t>8/31/2022</t>
  </si>
  <si>
    <t>9/2/2022</t>
  </si>
  <si>
    <t>10/1/2022</t>
  </si>
  <si>
    <t>9/30/2022</t>
  </si>
  <si>
    <t>10/3/2022</t>
  </si>
  <si>
    <t>11/1/2022</t>
  </si>
  <si>
    <t>10/31/2022</t>
  </si>
  <si>
    <t>12/1/2022</t>
  </si>
  <si>
    <t>1/1/2023</t>
  </si>
  <si>
    <t>Rent: Jan '2023</t>
  </si>
  <si>
    <t>12/30/2023</t>
  </si>
  <si>
    <t>1/3/2023</t>
  </si>
  <si>
    <t>2/9/2020</t>
  </si>
  <si>
    <t>2/10/2020</t>
  </si>
  <si>
    <t>4/6/2021</t>
  </si>
  <si>
    <t>5/6/2021</t>
  </si>
  <si>
    <t>6/4/2021</t>
  </si>
  <si>
    <t>6/3/2021</t>
  </si>
  <si>
    <t>8/3/2021</t>
  </si>
  <si>
    <t>8/4/2021</t>
  </si>
  <si>
    <t>9/7/2021</t>
  </si>
  <si>
    <t>10/5/2021</t>
  </si>
  <si>
    <t>11/3/2021</t>
  </si>
  <si>
    <t>11/4/2021</t>
  </si>
  <si>
    <t>12/2/2021</t>
  </si>
  <si>
    <t>12/3/2021</t>
  </si>
  <si>
    <t>12/13/2021</t>
  </si>
  <si>
    <t>1/3/2022</t>
  </si>
  <si>
    <t>2/2/2022</t>
  </si>
  <si>
    <t>3/3/2022</t>
  </si>
  <si>
    <t>4/4/2022</t>
  </si>
  <si>
    <t>5/3/2022</t>
  </si>
  <si>
    <t>5/4/2022</t>
  </si>
  <si>
    <t>6/3/2022</t>
  </si>
  <si>
    <t>7/5/2022</t>
  </si>
  <si>
    <t>8/2/2022</t>
  </si>
  <si>
    <t>10/4/2022</t>
  </si>
  <si>
    <t>10/5/2022</t>
  </si>
  <si>
    <t>11/3/2022</t>
  </si>
  <si>
    <t>3/3/2020</t>
  </si>
  <si>
    <t>4/5/2020</t>
  </si>
  <si>
    <t>4/2/2020</t>
  </si>
  <si>
    <t>5/4/2020</t>
  </si>
  <si>
    <t>6/5/2020</t>
  </si>
  <si>
    <t>6/2/2020</t>
  </si>
  <si>
    <t>7/5/2020</t>
  </si>
  <si>
    <t>7/7/2020</t>
  </si>
  <si>
    <t>8/5/2020</t>
  </si>
  <si>
    <t>9/5/2020</t>
  </si>
  <si>
    <t>9/2/2020</t>
  </si>
  <si>
    <t>9/3/2020</t>
  </si>
  <si>
    <t>10/5/2020</t>
  </si>
  <si>
    <t>11/5/2020</t>
  </si>
  <si>
    <t>11/3/2020</t>
  </si>
  <si>
    <t>11/4/2020</t>
  </si>
  <si>
    <t>12/5/2020</t>
  </si>
  <si>
    <t>12/7/2020</t>
  </si>
  <si>
    <t>1/7/2021</t>
  </si>
  <si>
    <t>2/3/2021</t>
  </si>
  <si>
    <t>2/4/2021</t>
  </si>
  <si>
    <t>2/21/2020</t>
  </si>
  <si>
    <t>3/28/2020</t>
  </si>
  <si>
    <t>4/21/2020</t>
  </si>
  <si>
    <t>5/20/2020</t>
  </si>
  <si>
    <t>7/30/2020</t>
  </si>
  <si>
    <t>8/26/2020</t>
  </si>
  <si>
    <t>9/23/2020</t>
  </si>
  <si>
    <t>11/29/2020</t>
  </si>
  <si>
    <t>2/28/2021</t>
  </si>
  <si>
    <t>3/24/2021</t>
  </si>
  <si>
    <t>4/23/2021</t>
  </si>
  <si>
    <t>12/2/2022</t>
  </si>
  <si>
    <t>8/15/2021</t>
  </si>
  <si>
    <t>7/19/2021</t>
  </si>
  <si>
    <t>7/20/2021</t>
  </si>
  <si>
    <t>9/29/2021</t>
  </si>
  <si>
    <t>10/29/2021</t>
  </si>
  <si>
    <t>11/29/2021</t>
  </si>
  <si>
    <t>3/29/2022</t>
  </si>
  <si>
    <t>4/29/2022</t>
  </si>
  <si>
    <t>8/30/2022</t>
  </si>
  <si>
    <t>9/29/2022</t>
  </si>
  <si>
    <t>11/29/2022</t>
  </si>
  <si>
    <t>12/30/2022</t>
  </si>
  <si>
    <t>9/8/2018</t>
  </si>
  <si>
    <t>9/26/2018</t>
  </si>
  <si>
    <t>9/17/2018</t>
  </si>
  <si>
    <t>10/9/2018</t>
  </si>
  <si>
    <t>10/28/2018</t>
  </si>
  <si>
    <t>11/28/2018</t>
  </si>
  <si>
    <t>12/6/2018</t>
  </si>
  <si>
    <t>12/10/2018</t>
  </si>
  <si>
    <t>12/8/2018</t>
  </si>
  <si>
    <t>12/28/2018</t>
  </si>
  <si>
    <t>1/4/2019</t>
  </si>
  <si>
    <t>1/28/2019</t>
  </si>
  <si>
    <t>Rent: Jan '2019</t>
  </si>
  <si>
    <t>2/7/2019</t>
  </si>
  <si>
    <t>2/13/2019</t>
  </si>
  <si>
    <t>2/4/2019</t>
  </si>
  <si>
    <t>3/7/2019</t>
  </si>
  <si>
    <t>3/14/2019</t>
  </si>
  <si>
    <t>3/4/2019</t>
  </si>
  <si>
    <t>3/28/2019</t>
  </si>
  <si>
    <t>Rent: Mar '2019</t>
  </si>
  <si>
    <t>4/15/2019</t>
  </si>
  <si>
    <t>4/4/2019</t>
  </si>
  <si>
    <t>4/28/2019</t>
  </si>
  <si>
    <t>5/13/2019</t>
  </si>
  <si>
    <t>5/16/2019</t>
  </si>
  <si>
    <t>5/4/2019</t>
  </si>
  <si>
    <t>5/28/2019</t>
  </si>
  <si>
    <t>6/7/2019</t>
  </si>
  <si>
    <t>6/11/2019</t>
  </si>
  <si>
    <t>7/28/2019</t>
  </si>
  <si>
    <t>7/9/2019</t>
  </si>
  <si>
    <t>7/15/2019</t>
  </si>
  <si>
    <t>8/28/2019</t>
  </si>
  <si>
    <t>8/6/2019</t>
  </si>
  <si>
    <t>8/9/2019</t>
  </si>
  <si>
    <t>9/28/2019</t>
  </si>
  <si>
    <t>9/20/2019</t>
  </si>
  <si>
    <t>10/28/2019</t>
  </si>
  <si>
    <t>11/8/2019</t>
  </si>
  <si>
    <t>11/28/2019</t>
  </si>
  <si>
    <t>12/28/2019</t>
  </si>
  <si>
    <t>1/21/2020</t>
  </si>
  <si>
    <t>1/28/2020</t>
  </si>
  <si>
    <t>2/13/2020</t>
  </si>
  <si>
    <t>2/28/2020</t>
  </si>
  <si>
    <t>3/9/2020</t>
  </si>
  <si>
    <t>3/8/2019</t>
  </si>
  <si>
    <t>4/28/2020</t>
  </si>
  <si>
    <t>5/28/2020</t>
  </si>
  <si>
    <t>6/28/2020</t>
  </si>
  <si>
    <t>7/2/2020</t>
  </si>
  <si>
    <t>7/28/2020</t>
  </si>
  <si>
    <t>8/24/2020</t>
  </si>
  <si>
    <t>8/28/2020</t>
  </si>
  <si>
    <t>9/28/2020</t>
  </si>
  <si>
    <t>9/29/2020</t>
  </si>
  <si>
    <t>10/23/2020</t>
  </si>
  <si>
    <t>10/28/2020</t>
  </si>
  <si>
    <t>11/7/2020</t>
  </si>
  <si>
    <t>11/28/2020</t>
  </si>
  <si>
    <t>3/25/2020</t>
  </si>
  <si>
    <t>12/10/2020</t>
  </si>
  <si>
    <t>1/28/2021</t>
  </si>
  <si>
    <t>3/3/2021</t>
  </si>
  <si>
    <t>3/28/2021</t>
  </si>
  <si>
    <t>4/28/2021</t>
  </si>
  <si>
    <t>5/28/2021</t>
  </si>
  <si>
    <t>6/28/2021</t>
  </si>
  <si>
    <t>7/28/2021</t>
  </si>
  <si>
    <t>8/28/2021</t>
  </si>
  <si>
    <t>9/28/2021</t>
  </si>
  <si>
    <t>10/28/2021</t>
  </si>
  <si>
    <t>10/21/2021</t>
  </si>
  <si>
    <t>10/15/2021</t>
  </si>
  <si>
    <t>11/28/2021</t>
  </si>
  <si>
    <t>1/14/2022</t>
  </si>
  <si>
    <t>1/28/2022</t>
  </si>
  <si>
    <t>2/11/2022</t>
  </si>
  <si>
    <t>3/28/2022</t>
  </si>
  <si>
    <t>4/28/2022</t>
  </si>
  <si>
    <t>5/28/2022</t>
  </si>
  <si>
    <t>6/28/2022</t>
  </si>
  <si>
    <t>7/28/2022</t>
  </si>
  <si>
    <t>8/28/2022</t>
  </si>
  <si>
    <t>9/28/2022</t>
  </si>
  <si>
    <t>10/11/2022</t>
  </si>
  <si>
    <t>10/28/2022</t>
  </si>
  <si>
    <t>11/2/2022</t>
  </si>
  <si>
    <t>11/28/2022</t>
  </si>
  <si>
    <t>12/28/2022</t>
  </si>
  <si>
    <t>4/10/2021</t>
  </si>
  <si>
    <t>4/12/2021</t>
  </si>
  <si>
    <t>5/10/2021</t>
  </si>
  <si>
    <t>5/14/2021</t>
  </si>
  <si>
    <t>6/10/2021</t>
  </si>
  <si>
    <t>6/11/2021</t>
  </si>
  <si>
    <t>7/10/2021</t>
  </si>
  <si>
    <t>7/12/2021</t>
  </si>
  <si>
    <t>7/14/2021</t>
  </si>
  <si>
    <t>8/10/2021</t>
  </si>
  <si>
    <t>8/12/2021</t>
  </si>
  <si>
    <t>9/10/2021</t>
  </si>
  <si>
    <t>9/13/2021</t>
  </si>
  <si>
    <t>10/10/2021</t>
  </si>
  <si>
    <t>10/12/2021</t>
  </si>
  <si>
    <t>11/10/2021</t>
  </si>
  <si>
    <t>11/12/2021</t>
  </si>
  <si>
    <t>1/9/2022</t>
  </si>
  <si>
    <t>12/10/2021</t>
  </si>
  <si>
    <t>12/14/2021</t>
  </si>
  <si>
    <t>1/10/2022</t>
  </si>
  <si>
    <t>2/10/2022</t>
  </si>
  <si>
    <t>3/10/2022</t>
  </si>
  <si>
    <t>3/14/2022</t>
  </si>
  <si>
    <t>4/10/2022</t>
  </si>
  <si>
    <t>4/12/2022</t>
  </si>
  <si>
    <t>5/10/2022</t>
  </si>
  <si>
    <t>5/12/2022</t>
  </si>
  <si>
    <t>5/13/2022</t>
  </si>
  <si>
    <t>5/16/2022</t>
  </si>
  <si>
    <t>6/10/2022</t>
  </si>
  <si>
    <t>6/14/2022</t>
  </si>
  <si>
    <t>7/10/2022</t>
  </si>
  <si>
    <t>7/11/2022</t>
  </si>
  <si>
    <t>8/10/2022</t>
  </si>
  <si>
    <t>8/12/2022</t>
  </si>
  <si>
    <t>9/10/2022</t>
  </si>
  <si>
    <t>9/13/2022</t>
  </si>
  <si>
    <t>10/10/2022</t>
  </si>
  <si>
    <t>10/12/2022</t>
  </si>
  <si>
    <t>11/10/2022</t>
  </si>
  <si>
    <t>11/14/2022</t>
  </si>
  <si>
    <t>12/10/2022</t>
  </si>
  <si>
    <t>12/12/2022</t>
  </si>
  <si>
    <t>1/9/2021</t>
  </si>
  <si>
    <t>1/10/2021</t>
  </si>
  <si>
    <t>2/10/2021</t>
  </si>
  <si>
    <t>2/11/2021</t>
  </si>
  <si>
    <t>3/12/2021</t>
  </si>
  <si>
    <t>4/26/2021</t>
  </si>
  <si>
    <t>4/29/2021</t>
  </si>
  <si>
    <t>6/25/2021</t>
  </si>
  <si>
    <t>7/30/2021</t>
  </si>
  <si>
    <t>3/2/2022</t>
  </si>
  <si>
    <t>6/2/2022</t>
  </si>
  <si>
    <t>8/15/2022</t>
  </si>
  <si>
    <t>9/9/2022</t>
  </si>
  <si>
    <t>11/19/2022</t>
  </si>
  <si>
    <t>Entry ID</t>
  </si>
  <si>
    <t>Payment received on time</t>
  </si>
  <si>
    <t>Rent: Dec 2022</t>
  </si>
  <si>
    <t>11/25/2022</t>
  </si>
  <si>
    <t>Rent: Jan 2023</t>
  </si>
  <si>
    <t>2/1/2023</t>
  </si>
  <si>
    <t>Rent: Feb 2023</t>
  </si>
  <si>
    <t>3324 E Williams Field RD</t>
  </si>
  <si>
    <t>Emilia Halfa</t>
  </si>
  <si>
    <t>6/1/2023</t>
  </si>
  <si>
    <t>Lease Agreement Confirmation</t>
  </si>
  <si>
    <t>3/12/2023</t>
  </si>
  <si>
    <t>Rent: March 2023</t>
  </si>
  <si>
    <t>Rent due: March 2023 - on time !!</t>
  </si>
  <si>
    <t>Payment received - need to call</t>
  </si>
  <si>
    <t>3/6/2023</t>
  </si>
  <si>
    <t>3/13/2023</t>
  </si>
  <si>
    <t>Pet Fee</t>
  </si>
  <si>
    <t>4/1/2023</t>
  </si>
  <si>
    <t>Pet Fee Paid</t>
  </si>
  <si>
    <t>Rent: April 2023</t>
  </si>
  <si>
    <t>Carpet Cleaning</t>
  </si>
  <si>
    <t>1105 E Ray RD</t>
  </si>
  <si>
    <t>Keel Kryzalot</t>
  </si>
  <si>
    <t>Rent: March</t>
  </si>
  <si>
    <t>911 Long Beach, CA 94215</t>
  </si>
  <si>
    <t xml:space="preserve">123 Snowville </t>
  </si>
  <si>
    <t>John Snow</t>
  </si>
  <si>
    <t>Rent</t>
  </si>
  <si>
    <t>201 E Grove St, CA</t>
  </si>
  <si>
    <t>Joshua Tree</t>
  </si>
  <si>
    <t>8241 Sandy Shores, CA 24125</t>
  </si>
  <si>
    <t>James Flamingo</t>
  </si>
  <si>
    <t>Rent paid on time</t>
  </si>
  <si>
    <t>876 E Wallaby Way, CA 51241</t>
  </si>
  <si>
    <t>Nemo Fish</t>
  </si>
  <si>
    <t>Rent Due</t>
  </si>
  <si>
    <t>8008 S Bush, WA 42145</t>
  </si>
  <si>
    <t>Amelia Watson</t>
  </si>
  <si>
    <t>Rent: April</t>
  </si>
  <si>
    <t>Payment a received april</t>
  </si>
  <si>
    <t>Rent May</t>
  </si>
  <si>
    <t>Adam Apple</t>
  </si>
  <si>
    <t>666 Hell Ave, CA 42151</t>
  </si>
  <si>
    <t>Satan</t>
  </si>
  <si>
    <t>Paid for carpet</t>
  </si>
  <si>
    <t>752 E Gold RD, GA 355235</t>
  </si>
  <si>
    <t>Reed Goldberg</t>
  </si>
  <si>
    <t>2480 Pecos RD, AZ 34234</t>
  </si>
  <si>
    <t>Speedy Gonzales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</si>
</sst>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  <numFmt numFmtId="166" formatCode="&quot;$&quot;#,##0.00"/>
    <numFmt numFmtId="167" formatCode="mm/dd/yyyy"/>
  </numFmts>
  <fonts count="18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  <scheme val="minor"/>
    </font>
    <font>
      <u/>
      <sz val="10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sz val="10"/>
      <name val="Arial"/>
      <family val="2"/>
    </font>
    <font>
      <sz val="10"/>
      <color rgb="FF000000"/>
      <name val="Arial"/>
      <family val="2"/>
      <scheme val="minor"/>
    </font>
    <font>
      <sz val="11"/>
      <name val="Calibri"/>
      <family val="2"/>
    </font>
    <font>
      <sz val="10"/>
      <name val="Arial"/>
      <family val="2"/>
      <scheme val="minor"/>
    </font>
    <font>
      <b/>
      <sz val="10"/>
      <name val="Arial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00B050"/>
        <bgColor rgb="FF00B050"/>
      </patternFill>
    </fill>
    <fill>
      <patternFill patternType="solid">
        <fgColor rgb="FFC0C0C0"/>
        <bgColor rgb="FFC0C0C0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</borders>
  <cellStyleXfs count="2">
    <xf numFmtId="0" fontId="0" fillId="0" borderId="0"/>
    <xf numFmtId="44" fontId="13" fillId="0" borderId="0" applyFont="0" applyFill="0" applyBorder="0" applyAlignment="0" applyProtection="0"/>
  </cellStyleXfs>
  <cellXfs count="93">
    <xf numFmtId="0" fontId="0" fillId="0" borderId="0" xfId="0"/>
    <xf numFmtId="0" fontId="2" fillId="0" borderId="0" xfId="0" applyFont="1"/>
    <xf numFmtId="0" fontId="3" fillId="3" borderId="1" xfId="0" applyFont="1" applyFill="1" applyBorder="1"/>
    <xf numFmtId="0" fontId="2" fillId="0" borderId="2" xfId="0" applyFont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9" fontId="1" fillId="0" borderId="0" xfId="0" applyNumberFormat="1" applyFont="1"/>
    <xf numFmtId="44" fontId="1" fillId="0" borderId="6" xfId="0" applyNumberFormat="1" applyFont="1" applyBorder="1"/>
    <xf numFmtId="44" fontId="1" fillId="0" borderId="7" xfId="0" applyNumberFormat="1" applyFont="1" applyBorder="1"/>
    <xf numFmtId="44" fontId="1" fillId="0" borderId="0" xfId="0" applyNumberFormat="1" applyFont="1"/>
    <xf numFmtId="44" fontId="1" fillId="2" borderId="7" xfId="0" applyNumberFormat="1" applyFont="1" applyFill="1" applyBorder="1"/>
    <xf numFmtId="44" fontId="1" fillId="2" borderId="6" xfId="0" applyNumberFormat="1" applyFont="1" applyFill="1" applyBorder="1"/>
    <xf numFmtId="44" fontId="1" fillId="2" borderId="1" xfId="0" applyNumberFormat="1" applyFont="1" applyFill="1" applyBorder="1"/>
    <xf numFmtId="44" fontId="2" fillId="0" borderId="0" xfId="0" applyNumberFormat="1" applyFont="1"/>
    <xf numFmtId="164" fontId="1" fillId="0" borderId="0" xfId="0" applyNumberFormat="1" applyFont="1"/>
    <xf numFmtId="0" fontId="2" fillId="2" borderId="5" xfId="0" applyFont="1" applyFill="1" applyBorder="1"/>
    <xf numFmtId="0" fontId="2" fillId="4" borderId="1" xfId="0" applyFont="1" applyFill="1" applyBorder="1"/>
    <xf numFmtId="0" fontId="2" fillId="0" borderId="8" xfId="0" applyFont="1" applyBorder="1"/>
    <xf numFmtId="44" fontId="1" fillId="0" borderId="9" xfId="0" applyNumberFormat="1" applyFont="1" applyBorder="1"/>
    <xf numFmtId="44" fontId="1" fillId="4" borderId="9" xfId="0" applyNumberFormat="1" applyFont="1" applyFill="1" applyBorder="1"/>
    <xf numFmtId="14" fontId="1" fillId="2" borderId="1" xfId="0" applyNumberFormat="1" applyFont="1" applyFill="1" applyBorder="1"/>
    <xf numFmtId="44" fontId="1" fillId="5" borderId="1" xfId="0" applyNumberFormat="1" applyFont="1" applyFill="1" applyBorder="1"/>
    <xf numFmtId="14" fontId="1" fillId="0" borderId="0" xfId="0" applyNumberFormat="1" applyFont="1"/>
    <xf numFmtId="0" fontId="1" fillId="0" borderId="0" xfId="0" applyFont="1"/>
    <xf numFmtId="0" fontId="5" fillId="0" borderId="0" xfId="0" applyFont="1"/>
    <xf numFmtId="165" fontId="1" fillId="0" borderId="0" xfId="0" applyNumberFormat="1" applyFont="1"/>
    <xf numFmtId="166" fontId="1" fillId="0" borderId="0" xfId="0" applyNumberFormat="1" applyFont="1"/>
    <xf numFmtId="166" fontId="1" fillId="6" borderId="1" xfId="0" applyNumberFormat="1" applyFont="1" applyFill="1" applyBorder="1"/>
    <xf numFmtId="0" fontId="3" fillId="0" borderId="0" xfId="0" applyFont="1"/>
    <xf numFmtId="8" fontId="1" fillId="0" borderId="0" xfId="0" applyNumberFormat="1" applyFont="1"/>
    <xf numFmtId="44" fontId="1" fillId="0" borderId="0" xfId="0" applyNumberFormat="1" applyFont="1" applyAlignment="1">
      <alignment horizontal="left"/>
    </xf>
    <xf numFmtId="44" fontId="5" fillId="0" borderId="0" xfId="0" applyNumberFormat="1" applyFont="1"/>
    <xf numFmtId="16" fontId="1" fillId="0" borderId="0" xfId="0" applyNumberFormat="1" applyFont="1"/>
    <xf numFmtId="0" fontId="1" fillId="6" borderId="10" xfId="0" applyFont="1" applyFill="1" applyBorder="1"/>
    <xf numFmtId="14" fontId="1" fillId="0" borderId="10" xfId="0" applyNumberFormat="1" applyFont="1" applyBorder="1"/>
    <xf numFmtId="0" fontId="1" fillId="0" borderId="10" xfId="0" applyFont="1" applyBorder="1"/>
    <xf numFmtId="166" fontId="1" fillId="0" borderId="10" xfId="0" applyNumberFormat="1" applyFont="1" applyBorder="1"/>
    <xf numFmtId="166" fontId="1" fillId="6" borderId="10" xfId="0" applyNumberFormat="1" applyFont="1" applyFill="1" applyBorder="1"/>
    <xf numFmtId="0" fontId="0" fillId="0" borderId="10" xfId="0" applyBorder="1"/>
    <xf numFmtId="44" fontId="1" fillId="0" borderId="10" xfId="0" applyNumberFormat="1" applyFont="1" applyBorder="1"/>
    <xf numFmtId="0" fontId="5" fillId="0" borderId="10" xfId="0" applyFont="1" applyBorder="1"/>
    <xf numFmtId="0" fontId="11" fillId="0" borderId="0" xfId="0" applyFont="1"/>
    <xf numFmtId="165" fontId="1" fillId="0" borderId="10" xfId="0" applyNumberFormat="1" applyFont="1" applyBorder="1"/>
    <xf numFmtId="0" fontId="6" fillId="0" borderId="10" xfId="0" applyFont="1" applyBorder="1"/>
    <xf numFmtId="0" fontId="3" fillId="0" borderId="10" xfId="0" applyFont="1" applyBorder="1"/>
    <xf numFmtId="0" fontId="11" fillId="0" borderId="10" xfId="0" applyFont="1" applyBorder="1"/>
    <xf numFmtId="0" fontId="1" fillId="0" borderId="1" xfId="0" applyFont="1" applyBorder="1"/>
    <xf numFmtId="166" fontId="1" fillId="0" borderId="10" xfId="1" applyNumberFormat="1" applyFont="1" applyFill="1" applyBorder="1"/>
    <xf numFmtId="0" fontId="12" fillId="0" borderId="10" xfId="0" applyFont="1" applyBorder="1"/>
    <xf numFmtId="166" fontId="10" fillId="0" borderId="10" xfId="0" applyNumberFormat="1" applyFont="1" applyBorder="1"/>
    <xf numFmtId="166" fontId="10" fillId="6" borderId="10" xfId="0" applyNumberFormat="1" applyFont="1" applyFill="1" applyBorder="1"/>
    <xf numFmtId="0" fontId="14" fillId="0" borderId="10" xfId="0" applyFont="1" applyBorder="1"/>
    <xf numFmtId="0" fontId="2" fillId="0" borderId="10" xfId="0" applyFont="1" applyBorder="1"/>
    <xf numFmtId="166" fontId="12" fillId="0" borderId="10" xfId="0" applyNumberFormat="1" applyFont="1" applyBorder="1"/>
    <xf numFmtId="0" fontId="15" fillId="0" borderId="10" xfId="0" applyFont="1" applyBorder="1"/>
    <xf numFmtId="14" fontId="12" fillId="0" borderId="10" xfId="0" applyNumberFormat="1" applyFont="1" applyBorder="1"/>
    <xf numFmtId="166" fontId="3" fillId="0" borderId="10" xfId="0" applyNumberFormat="1" applyFont="1" applyBorder="1"/>
    <xf numFmtId="0" fontId="16" fillId="0" borderId="10" xfId="0" applyFont="1" applyBorder="1"/>
    <xf numFmtId="44" fontId="12" fillId="0" borderId="10" xfId="0" applyNumberFormat="1" applyFont="1" applyBorder="1"/>
    <xf numFmtId="0" fontId="4" fillId="0" borderId="10" xfId="0" applyFont="1" applyBorder="1"/>
    <xf numFmtId="0" fontId="1" fillId="7" borderId="10" xfId="0" applyFont="1" applyFill="1" applyBorder="1"/>
    <xf numFmtId="0" fontId="0" fillId="7" borderId="10" xfId="0" applyFill="1" applyBorder="1"/>
    <xf numFmtId="0" fontId="10" fillId="7" borderId="10" xfId="0" applyFont="1" applyFill="1" applyBorder="1"/>
    <xf numFmtId="0" fontId="11" fillId="7" borderId="10" xfId="0" applyFont="1" applyFill="1" applyBorder="1"/>
    <xf numFmtId="166" fontId="0" fillId="0" borderId="0" xfId="0" applyNumberFormat="1"/>
    <xf numFmtId="0" fontId="0" fillId="0" borderId="10" xfId="0" applyBorder="1" applyAlignment="1">
      <alignment horizontal="left"/>
    </xf>
    <xf numFmtId="0" fontId="11" fillId="0" borderId="10" xfId="0" applyFont="1" applyBorder="1" applyAlignment="1">
      <alignment horizontal="left"/>
    </xf>
    <xf numFmtId="0" fontId="1" fillId="6" borderId="10" xfId="0" applyFont="1" applyFill="1" applyBorder="1" applyAlignment="1">
      <alignment horizontal="left"/>
    </xf>
    <xf numFmtId="14" fontId="12" fillId="0" borderId="1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15" fillId="0" borderId="10" xfId="0" applyFont="1" applyBorder="1" applyAlignment="1">
      <alignment horizontal="left"/>
    </xf>
    <xf numFmtId="166" fontId="12" fillId="0" borderId="10" xfId="0" applyNumberFormat="1" applyFont="1" applyBorder="1" applyAlignment="1">
      <alignment horizontal="left"/>
    </xf>
    <xf numFmtId="14" fontId="1" fillId="0" borderId="10" xfId="0" applyNumberFormat="1" applyFont="1" applyBorder="1" applyAlignment="1">
      <alignment horizontal="left"/>
    </xf>
    <xf numFmtId="0" fontId="5" fillId="0" borderId="10" xfId="0" applyFont="1" applyBorder="1" applyAlignment="1">
      <alignment horizontal="left"/>
    </xf>
    <xf numFmtId="0" fontId="12" fillId="0" borderId="10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10" xfId="0" applyNumberFormat="1" applyBorder="1" applyAlignment="1">
      <alignment horizontal="left"/>
    </xf>
    <xf numFmtId="14" fontId="15" fillId="0" borderId="10" xfId="0" applyNumberFormat="1" applyFont="1" applyBorder="1" applyAlignment="1">
      <alignment horizontal="left"/>
    </xf>
    <xf numFmtId="14" fontId="4" fillId="0" borderId="10" xfId="0" applyNumberFormat="1" applyFont="1" applyBorder="1" applyAlignment="1">
      <alignment horizontal="left"/>
    </xf>
    <xf numFmtId="166" fontId="4" fillId="0" borderId="10" xfId="0" applyNumberFormat="1" applyFont="1" applyBorder="1"/>
    <xf numFmtId="166" fontId="14" fillId="0" borderId="10" xfId="0" applyNumberFormat="1" applyFont="1" applyBorder="1"/>
    <xf numFmtId="14" fontId="14" fillId="0" borderId="10" xfId="0" applyNumberFormat="1" applyFont="1" applyBorder="1"/>
    <xf numFmtId="14" fontId="4" fillId="0" borderId="1" xfId="0" applyNumberFormat="1" applyFont="1" applyBorder="1" applyAlignment="1">
      <alignment horizontal="left"/>
    </xf>
    <xf numFmtId="0" fontId="4" fillId="0" borderId="0" xfId="0" applyFont="1"/>
    <xf numFmtId="167" fontId="0" fillId="0" borderId="0" xfId="0" applyNumberFormat="1"/>
    <xf numFmtId="0" fontId="0" fillId="7" borderId="0" xfId="0" applyFill="1"/>
    <xf numFmtId="14" fontId="0" fillId="0" borderId="0" xfId="0" applyNumberFormat="1"/>
    <xf numFmtId="166" fontId="0" fillId="0" borderId="10" xfId="0" applyNumberFormat="1" applyBorder="1"/>
  </cellXfs>
  <cellStyles count="2">
    <cellStyle name="Currency" xfId="1" builtinId="4"/>
    <cellStyle name="Normal" xfId="0" builtinId="0"/>
  </cellStyles>
  <dxfs count="6"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8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2</xdr:row>
          <xdr:rowOff>57150</xdr:rowOff>
        </xdr:from>
        <xdr:to>
          <xdr:col>11</xdr:col>
          <xdr:colOff>19050</xdr:colOff>
          <xdr:row>8</xdr:row>
          <xdr:rowOff>9525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4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 Menu Mode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1000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12.5703125" defaultRowHeight="15" customHeight="1" x14ac:dyDescent="0.2"/>
  <cols>
    <col min="1" max="3" width="9.140625" customWidth="1"/>
    <col min="4" max="5" width="14.7109375" customWidth="1"/>
    <col min="6" max="6" width="11.5703125" customWidth="1"/>
    <col min="7" max="7" width="12.28515625" customWidth="1"/>
    <col min="8" max="9" width="12.5703125" customWidth="1"/>
    <col min="10" max="10" width="16.85546875" customWidth="1"/>
    <col min="11" max="14" width="15.5703125" customWidth="1"/>
    <col min="15" max="15" width="8.42578125" customWidth="1"/>
    <col min="16" max="16" width="15.140625" customWidth="1"/>
    <col min="17" max="26" width="9.14062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 t="s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 t="s">
        <v>1</v>
      </c>
      <c r="E4" s="1">
        <v>21141554</v>
      </c>
      <c r="F4" s="1" t="s">
        <v>38</v>
      </c>
      <c r="G4" s="1">
        <v>122000496</v>
      </c>
      <c r="H4" s="1" t="s">
        <v>2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 t="s">
        <v>39</v>
      </c>
      <c r="G5" s="1">
        <v>2451048793</v>
      </c>
      <c r="H5" s="2" t="s">
        <v>3</v>
      </c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3"/>
      <c r="D6" s="4">
        <v>2614</v>
      </c>
      <c r="E6" s="5"/>
      <c r="F6" s="4">
        <v>932</v>
      </c>
      <c r="G6" s="5"/>
      <c r="H6" s="4">
        <v>5436</v>
      </c>
      <c r="I6" s="5"/>
      <c r="J6" s="6" t="s">
        <v>4</v>
      </c>
      <c r="K6" s="7" t="s">
        <v>5</v>
      </c>
      <c r="L6" s="1" t="s">
        <v>6</v>
      </c>
      <c r="M6" s="1" t="s">
        <v>7</v>
      </c>
      <c r="N6" s="1" t="s">
        <v>8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8" t="s">
        <v>9</v>
      </c>
      <c r="D7" s="9">
        <v>1</v>
      </c>
      <c r="E7" s="10"/>
      <c r="F7" s="9">
        <v>2</v>
      </c>
      <c r="G7" s="10"/>
      <c r="H7" s="9">
        <v>3</v>
      </c>
      <c r="I7" s="10"/>
      <c r="J7" s="9"/>
      <c r="K7" s="10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 t="s">
        <v>11</v>
      </c>
      <c r="C8" s="8"/>
      <c r="D8" s="9" t="s">
        <v>12</v>
      </c>
      <c r="E8" s="10" t="s">
        <v>13</v>
      </c>
      <c r="F8" s="9" t="s">
        <v>12</v>
      </c>
      <c r="G8" s="10" t="s">
        <v>13</v>
      </c>
      <c r="H8" s="9" t="s">
        <v>12</v>
      </c>
      <c r="I8" s="10" t="s">
        <v>13</v>
      </c>
      <c r="J8" s="9"/>
      <c r="K8" s="10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1">
        <v>0.02</v>
      </c>
      <c r="C9" s="8" t="s">
        <v>14</v>
      </c>
      <c r="D9" s="12"/>
      <c r="E9" s="13"/>
      <c r="F9" s="12"/>
      <c r="G9" s="13"/>
      <c r="H9" s="12"/>
      <c r="I9" s="13"/>
      <c r="J9" s="12"/>
      <c r="K9" s="13">
        <v>136.5</v>
      </c>
      <c r="L9" s="14"/>
      <c r="M9" s="14"/>
      <c r="N9" s="14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1">
        <v>0.02</v>
      </c>
      <c r="C10" s="8" t="s">
        <v>15</v>
      </c>
      <c r="D10" s="12">
        <v>48.42</v>
      </c>
      <c r="E10" s="15">
        <f t="shared" ref="E10:E35" si="0">D10/$B10</f>
        <v>2421</v>
      </c>
      <c r="F10" s="12">
        <v>63</v>
      </c>
      <c r="G10" s="15">
        <f t="shared" ref="G10:G35" si="1">F10/$B10</f>
        <v>3150</v>
      </c>
      <c r="H10" s="12">
        <v>77.7</v>
      </c>
      <c r="I10" s="15">
        <f t="shared" ref="I10:I35" si="2">H10/$B10</f>
        <v>3885</v>
      </c>
      <c r="J10" s="16">
        <f t="shared" ref="J10:J35" si="3">K10/$B10</f>
        <v>9456</v>
      </c>
      <c r="K10" s="15">
        <f t="shared" ref="K10:K14" si="4">H10+D10+F10</f>
        <v>189.12</v>
      </c>
      <c r="L10" s="17"/>
      <c r="M10" s="17"/>
      <c r="N10" s="17"/>
      <c r="O10" s="18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1">
        <v>0.02</v>
      </c>
      <c r="C11" s="8" t="s">
        <v>16</v>
      </c>
      <c r="D11" s="12">
        <v>43.75</v>
      </c>
      <c r="E11" s="15">
        <f t="shared" si="0"/>
        <v>2187.5</v>
      </c>
      <c r="F11" s="12">
        <v>63</v>
      </c>
      <c r="G11" s="15">
        <f t="shared" si="1"/>
        <v>3150</v>
      </c>
      <c r="H11" s="12">
        <v>77.7</v>
      </c>
      <c r="I11" s="15">
        <f t="shared" si="2"/>
        <v>3885</v>
      </c>
      <c r="J11" s="16">
        <f t="shared" si="3"/>
        <v>9222.5</v>
      </c>
      <c r="K11" s="15">
        <f t="shared" si="4"/>
        <v>184.45</v>
      </c>
      <c r="L11" s="17"/>
      <c r="M11" s="17"/>
      <c r="N11" s="17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1">
        <v>0.02</v>
      </c>
      <c r="C12" s="8" t="s">
        <v>17</v>
      </c>
      <c r="D12" s="12">
        <v>75</v>
      </c>
      <c r="E12" s="15">
        <f t="shared" si="0"/>
        <v>3750</v>
      </c>
      <c r="F12" s="12">
        <v>63</v>
      </c>
      <c r="G12" s="15">
        <f t="shared" si="1"/>
        <v>3150</v>
      </c>
      <c r="H12" s="12">
        <v>77.7</v>
      </c>
      <c r="I12" s="15">
        <f t="shared" si="2"/>
        <v>3885</v>
      </c>
      <c r="J12" s="16">
        <f t="shared" si="3"/>
        <v>10785</v>
      </c>
      <c r="K12" s="15">
        <f t="shared" si="4"/>
        <v>215.7</v>
      </c>
      <c r="L12" s="17"/>
      <c r="M12" s="17"/>
      <c r="N12" s="17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1">
        <v>0.02</v>
      </c>
      <c r="C13" s="8" t="s">
        <v>18</v>
      </c>
      <c r="D13" s="12">
        <v>90.16</v>
      </c>
      <c r="E13" s="15">
        <f t="shared" si="0"/>
        <v>4508</v>
      </c>
      <c r="F13" s="12">
        <v>56.82</v>
      </c>
      <c r="G13" s="15">
        <f t="shared" si="1"/>
        <v>2841</v>
      </c>
      <c r="H13" s="12">
        <v>70.48</v>
      </c>
      <c r="I13" s="15">
        <f t="shared" si="2"/>
        <v>3524</v>
      </c>
      <c r="J13" s="16">
        <f t="shared" si="3"/>
        <v>10872.999999999998</v>
      </c>
      <c r="K13" s="15">
        <f t="shared" si="4"/>
        <v>217.45999999999998</v>
      </c>
      <c r="L13" s="17"/>
      <c r="M13" s="17"/>
      <c r="N13" s="17"/>
      <c r="O13" s="1" t="s">
        <v>19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9">
        <v>1.7999999999999999E-2</v>
      </c>
      <c r="C14" s="8" t="s">
        <v>20</v>
      </c>
      <c r="D14" s="12">
        <v>45.08</v>
      </c>
      <c r="E14" s="15">
        <f t="shared" si="0"/>
        <v>2504.4444444444443</v>
      </c>
      <c r="F14" s="12">
        <v>56.82</v>
      </c>
      <c r="G14" s="15">
        <f t="shared" si="1"/>
        <v>3156.666666666667</v>
      </c>
      <c r="H14" s="12">
        <v>63.16</v>
      </c>
      <c r="I14" s="15">
        <f t="shared" si="2"/>
        <v>3508.8888888888891</v>
      </c>
      <c r="J14" s="16">
        <f t="shared" si="3"/>
        <v>9170</v>
      </c>
      <c r="K14" s="15">
        <f t="shared" si="4"/>
        <v>165.06</v>
      </c>
      <c r="L14" s="17"/>
      <c r="M14" s="17"/>
      <c r="N14" s="17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9">
        <v>1.7999999999999999E-2</v>
      </c>
      <c r="C15" s="20" t="s">
        <v>21</v>
      </c>
      <c r="D15" s="16">
        <f>SUM(D11:D14)</f>
        <v>253.99</v>
      </c>
      <c r="E15" s="15">
        <f t="shared" si="0"/>
        <v>14110.555555555557</v>
      </c>
      <c r="F15" s="16">
        <f>SUM(F11:F14)</f>
        <v>239.64</v>
      </c>
      <c r="G15" s="15">
        <f t="shared" si="1"/>
        <v>13313.333333333334</v>
      </c>
      <c r="H15" s="16">
        <f>SUM(H11:H14)</f>
        <v>289.03999999999996</v>
      </c>
      <c r="I15" s="15">
        <f t="shared" si="2"/>
        <v>16057.777777777777</v>
      </c>
      <c r="J15" s="16">
        <f t="shared" si="3"/>
        <v>0</v>
      </c>
      <c r="K15" s="15"/>
      <c r="L15" s="17"/>
      <c r="M15" s="17"/>
      <c r="N15" s="17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9">
        <v>1.7999999999999999E-2</v>
      </c>
      <c r="C16" s="8" t="s">
        <v>22</v>
      </c>
      <c r="D16" s="12">
        <v>67.62</v>
      </c>
      <c r="E16" s="15">
        <f t="shared" si="0"/>
        <v>3756.6666666666674</v>
      </c>
      <c r="F16" s="12">
        <v>56.82</v>
      </c>
      <c r="G16" s="15">
        <f t="shared" si="1"/>
        <v>3156.666666666667</v>
      </c>
      <c r="H16" s="12">
        <v>69.930000000000007</v>
      </c>
      <c r="I16" s="15">
        <f t="shared" si="2"/>
        <v>3885.0000000000005</v>
      </c>
      <c r="J16" s="16">
        <f t="shared" si="3"/>
        <v>10798.333333333334</v>
      </c>
      <c r="K16" s="15">
        <f t="shared" ref="K16:K35" si="5">H16+D16+F16</f>
        <v>194.37</v>
      </c>
      <c r="L16" s="17"/>
      <c r="M16" s="17"/>
      <c r="N16" s="17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9">
        <v>1.7999999999999999E-2</v>
      </c>
      <c r="C17" s="8" t="s">
        <v>23</v>
      </c>
      <c r="D17" s="12">
        <v>67.62</v>
      </c>
      <c r="E17" s="15">
        <f t="shared" si="0"/>
        <v>3756.6666666666674</v>
      </c>
      <c r="F17" s="12">
        <v>56.82</v>
      </c>
      <c r="G17" s="15">
        <f t="shared" si="1"/>
        <v>3156.666666666667</v>
      </c>
      <c r="H17" s="12">
        <v>69.930000000000007</v>
      </c>
      <c r="I17" s="15">
        <f t="shared" si="2"/>
        <v>3885.0000000000005</v>
      </c>
      <c r="J17" s="16">
        <f t="shared" si="3"/>
        <v>10798.333333333334</v>
      </c>
      <c r="K17" s="15">
        <f t="shared" si="5"/>
        <v>194.37</v>
      </c>
      <c r="L17" s="17"/>
      <c r="M17" s="17"/>
      <c r="N17" s="17"/>
      <c r="O17" s="18">
        <f>J17*0.018</f>
        <v>194.37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9">
        <v>1.7999999999999999E-2</v>
      </c>
      <c r="C18" s="8" t="s">
        <v>24</v>
      </c>
      <c r="D18" s="12">
        <v>76.86</v>
      </c>
      <c r="E18" s="15">
        <f t="shared" si="0"/>
        <v>4270</v>
      </c>
      <c r="F18" s="12">
        <v>58.46</v>
      </c>
      <c r="G18" s="15">
        <f t="shared" si="1"/>
        <v>3247.7777777777783</v>
      </c>
      <c r="H18" s="12">
        <v>71.25</v>
      </c>
      <c r="I18" s="15">
        <f t="shared" si="2"/>
        <v>3958.3333333333335</v>
      </c>
      <c r="J18" s="16">
        <f t="shared" si="3"/>
        <v>11476.111111111113</v>
      </c>
      <c r="K18" s="15">
        <f t="shared" si="5"/>
        <v>206.57000000000002</v>
      </c>
      <c r="L18" s="17"/>
      <c r="M18" s="17"/>
      <c r="N18" s="17"/>
      <c r="O18" s="21" t="s">
        <v>25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9">
        <v>1.7999999999999999E-2</v>
      </c>
      <c r="C19" s="8" t="s">
        <v>26</v>
      </c>
      <c r="D19" s="12">
        <v>50.22</v>
      </c>
      <c r="E19" s="15">
        <f t="shared" si="0"/>
        <v>2790</v>
      </c>
      <c r="F19" s="12">
        <v>59.09</v>
      </c>
      <c r="G19" s="15">
        <f t="shared" si="1"/>
        <v>3282.7777777777783</v>
      </c>
      <c r="H19" s="12">
        <v>83.54</v>
      </c>
      <c r="I19" s="15">
        <f t="shared" si="2"/>
        <v>4641.1111111111122</v>
      </c>
      <c r="J19" s="16">
        <f t="shared" si="3"/>
        <v>10713.888888888889</v>
      </c>
      <c r="K19" s="15">
        <f t="shared" si="5"/>
        <v>192.85</v>
      </c>
      <c r="L19" s="17"/>
      <c r="M19" s="17"/>
      <c r="N19" s="17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9">
        <v>1.7999999999999999E-2</v>
      </c>
      <c r="C20" s="8" t="s">
        <v>27</v>
      </c>
      <c r="D20" s="12">
        <v>67.62</v>
      </c>
      <c r="E20" s="15">
        <f t="shared" si="0"/>
        <v>3756.6666666666674</v>
      </c>
      <c r="F20" s="12">
        <v>56.82</v>
      </c>
      <c r="G20" s="15">
        <f t="shared" si="1"/>
        <v>3156.666666666667</v>
      </c>
      <c r="H20" s="12">
        <v>69.930000000000007</v>
      </c>
      <c r="I20" s="15">
        <f t="shared" si="2"/>
        <v>3885.0000000000005</v>
      </c>
      <c r="J20" s="16">
        <f t="shared" si="3"/>
        <v>10798.333333333334</v>
      </c>
      <c r="K20" s="15">
        <f t="shared" si="5"/>
        <v>194.37</v>
      </c>
      <c r="L20" s="17"/>
      <c r="M20" s="17"/>
      <c r="N20" s="17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19">
        <v>1.7999999999999999E-2</v>
      </c>
      <c r="C21" s="8" t="s">
        <v>28</v>
      </c>
      <c r="D21" s="12">
        <v>68.97</v>
      </c>
      <c r="E21" s="15">
        <f t="shared" si="0"/>
        <v>3831.666666666667</v>
      </c>
      <c r="F21" s="12">
        <v>56.82</v>
      </c>
      <c r="G21" s="15">
        <f t="shared" si="1"/>
        <v>3156.666666666667</v>
      </c>
      <c r="H21" s="12">
        <v>69.930000000000007</v>
      </c>
      <c r="I21" s="15">
        <f t="shared" si="2"/>
        <v>3885.0000000000005</v>
      </c>
      <c r="J21" s="16">
        <f t="shared" si="3"/>
        <v>10873.333333333334</v>
      </c>
      <c r="K21" s="15">
        <f t="shared" si="5"/>
        <v>195.72</v>
      </c>
      <c r="L21" s="17"/>
      <c r="M21" s="17"/>
      <c r="N21" s="17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19">
        <v>1.7999999999999999E-2</v>
      </c>
      <c r="C22" s="8" t="s">
        <v>29</v>
      </c>
      <c r="D22" s="12">
        <v>78.39</v>
      </c>
      <c r="E22" s="15">
        <f t="shared" si="0"/>
        <v>4355</v>
      </c>
      <c r="F22" s="12">
        <v>56.82</v>
      </c>
      <c r="G22" s="15">
        <f t="shared" si="1"/>
        <v>3156.666666666667</v>
      </c>
      <c r="H22" s="12">
        <v>69.930000000000007</v>
      </c>
      <c r="I22" s="15">
        <f t="shared" si="2"/>
        <v>3885.0000000000005</v>
      </c>
      <c r="J22" s="16">
        <f t="shared" si="3"/>
        <v>11396.666666666666</v>
      </c>
      <c r="K22" s="15">
        <f t="shared" si="5"/>
        <v>205.14</v>
      </c>
      <c r="L22" s="17"/>
      <c r="M22" s="17"/>
      <c r="N22" s="17"/>
      <c r="O22" s="1" t="s">
        <v>30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19">
        <v>1.7999999999999999E-2</v>
      </c>
      <c r="C23" s="8" t="s">
        <v>31</v>
      </c>
      <c r="D23" s="12">
        <v>100.66</v>
      </c>
      <c r="E23" s="15">
        <f t="shared" si="0"/>
        <v>5592.2222222222226</v>
      </c>
      <c r="F23" s="12">
        <v>56.82</v>
      </c>
      <c r="G23" s="15">
        <f t="shared" si="1"/>
        <v>3156.666666666667</v>
      </c>
      <c r="H23" s="12">
        <f>23.31+3.35</f>
        <v>26.66</v>
      </c>
      <c r="I23" s="15">
        <f t="shared" si="2"/>
        <v>1481.1111111111113</v>
      </c>
      <c r="J23" s="16">
        <f t="shared" si="3"/>
        <v>10230</v>
      </c>
      <c r="K23" s="15">
        <f t="shared" si="5"/>
        <v>184.14</v>
      </c>
      <c r="L23" s="14"/>
      <c r="M23" s="17"/>
      <c r="N23" s="17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19">
        <v>1.7999999999999999E-2</v>
      </c>
      <c r="C24" s="8" t="str">
        <f t="shared" ref="C24:C27" si="6">LEFT(C20, 2)&amp;"'17"</f>
        <v>Q1'17</v>
      </c>
      <c r="D24" s="12">
        <v>70.2</v>
      </c>
      <c r="E24" s="15">
        <f t="shared" si="0"/>
        <v>3900.0000000000005</v>
      </c>
      <c r="F24" s="12">
        <v>59.09</v>
      </c>
      <c r="G24" s="15">
        <f t="shared" si="1"/>
        <v>3282.7777777777783</v>
      </c>
      <c r="H24" s="12">
        <v>102.98</v>
      </c>
      <c r="I24" s="15">
        <f t="shared" si="2"/>
        <v>5721.1111111111113</v>
      </c>
      <c r="J24" s="16">
        <f t="shared" si="3"/>
        <v>12903.888888888891</v>
      </c>
      <c r="K24" s="15">
        <f t="shared" si="5"/>
        <v>232.27</v>
      </c>
      <c r="L24" s="14">
        <v>290.66000000000003</v>
      </c>
      <c r="M24" s="17"/>
      <c r="N24" s="17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19">
        <v>1.7999999999999999E-2</v>
      </c>
      <c r="C25" s="8" t="str">
        <f t="shared" si="6"/>
        <v>Q2'17</v>
      </c>
      <c r="D25" s="12">
        <v>74.790000000000006</v>
      </c>
      <c r="E25" s="15">
        <f t="shared" si="0"/>
        <v>4155.0000000000009</v>
      </c>
      <c r="F25" s="12">
        <v>59.45</v>
      </c>
      <c r="G25" s="15">
        <f t="shared" si="1"/>
        <v>3302.7777777777783</v>
      </c>
      <c r="H25" s="12">
        <v>75.33</v>
      </c>
      <c r="I25" s="15">
        <f t="shared" si="2"/>
        <v>4185</v>
      </c>
      <c r="J25" s="16">
        <f t="shared" si="3"/>
        <v>11642.777777777777</v>
      </c>
      <c r="K25" s="15">
        <f t="shared" si="5"/>
        <v>209.57</v>
      </c>
      <c r="L25" s="14">
        <v>209.57</v>
      </c>
      <c r="M25" s="17"/>
      <c r="N25" s="17"/>
      <c r="O25" s="1" t="s">
        <v>32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19">
        <v>1.7999999999999999E-2</v>
      </c>
      <c r="C26" s="8" t="str">
        <f t="shared" si="6"/>
        <v>Q3'17</v>
      </c>
      <c r="D26" s="12">
        <v>88.65</v>
      </c>
      <c r="E26" s="15">
        <f t="shared" si="0"/>
        <v>4925.0000000000009</v>
      </c>
      <c r="F26" s="12">
        <f>19.28+41.77</f>
        <v>61.050000000000004</v>
      </c>
      <c r="G26" s="15">
        <f t="shared" si="1"/>
        <v>3391.666666666667</v>
      </c>
      <c r="H26" s="12">
        <v>75.33</v>
      </c>
      <c r="I26" s="15">
        <f t="shared" si="2"/>
        <v>4185</v>
      </c>
      <c r="J26" s="16">
        <f t="shared" si="3"/>
        <v>12501.66666666667</v>
      </c>
      <c r="K26" s="15">
        <f t="shared" si="5"/>
        <v>225.03000000000003</v>
      </c>
      <c r="L26" s="14">
        <v>225.03</v>
      </c>
      <c r="M26" s="17"/>
      <c r="N26" s="17"/>
      <c r="O26" s="1"/>
      <c r="P26" s="1" t="s">
        <v>33</v>
      </c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19">
        <v>1.7999999999999999E-2</v>
      </c>
      <c r="C27" s="22" t="str">
        <f t="shared" si="6"/>
        <v>Q4'17</v>
      </c>
      <c r="D27" s="23">
        <v>73.8</v>
      </c>
      <c r="E27" s="15">
        <f t="shared" si="0"/>
        <v>4100</v>
      </c>
      <c r="F27" s="23">
        <v>63.18</v>
      </c>
      <c r="G27" s="15">
        <f t="shared" si="1"/>
        <v>3510.0000000000005</v>
      </c>
      <c r="H27" s="23">
        <v>75.33</v>
      </c>
      <c r="I27" s="15">
        <f t="shared" si="2"/>
        <v>4185</v>
      </c>
      <c r="J27" s="16">
        <f t="shared" si="3"/>
        <v>11795.000000000002</v>
      </c>
      <c r="K27" s="15">
        <f t="shared" si="5"/>
        <v>212.31</v>
      </c>
      <c r="L27" s="14">
        <v>212.31</v>
      </c>
      <c r="M27" s="17"/>
      <c r="N27" s="17"/>
      <c r="O27" s="1" t="s">
        <v>34</v>
      </c>
      <c r="P27" s="18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19">
        <v>1.7999999999999999E-2</v>
      </c>
      <c r="C28" s="22" t="str">
        <f t="shared" ref="C28:C31" si="7">LEFT(C24, 2)&amp;"'18"</f>
        <v>Q1'18</v>
      </c>
      <c r="D28" s="23">
        <v>77.67</v>
      </c>
      <c r="E28" s="15">
        <f t="shared" si="0"/>
        <v>4315</v>
      </c>
      <c r="F28" s="23">
        <v>63.18</v>
      </c>
      <c r="G28" s="15">
        <f t="shared" si="1"/>
        <v>3510.0000000000005</v>
      </c>
      <c r="H28" s="23">
        <v>75.33</v>
      </c>
      <c r="I28" s="15">
        <f t="shared" si="2"/>
        <v>4185</v>
      </c>
      <c r="J28" s="16">
        <f t="shared" si="3"/>
        <v>12010.000000000002</v>
      </c>
      <c r="K28" s="15">
        <f t="shared" si="5"/>
        <v>216.18</v>
      </c>
      <c r="L28" s="14">
        <v>216.18</v>
      </c>
      <c r="M28" s="17"/>
      <c r="N28" s="17"/>
      <c r="O28" s="1"/>
      <c r="P28" s="1" t="s">
        <v>35</v>
      </c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19">
        <v>1.7999999999999999E-2</v>
      </c>
      <c r="C29" s="22" t="str">
        <f t="shared" si="7"/>
        <v>Q2'18</v>
      </c>
      <c r="D29" s="23">
        <v>77.67</v>
      </c>
      <c r="E29" s="15">
        <f t="shared" si="0"/>
        <v>4315</v>
      </c>
      <c r="F29" s="23">
        <v>63.18</v>
      </c>
      <c r="G29" s="15">
        <f t="shared" si="1"/>
        <v>3510.0000000000005</v>
      </c>
      <c r="H29" s="23">
        <v>75.33</v>
      </c>
      <c r="I29" s="15">
        <f t="shared" si="2"/>
        <v>4185</v>
      </c>
      <c r="J29" s="16">
        <f t="shared" si="3"/>
        <v>12010.000000000002</v>
      </c>
      <c r="K29" s="15">
        <f t="shared" si="5"/>
        <v>216.18</v>
      </c>
      <c r="L29" s="14">
        <v>216.18</v>
      </c>
      <c r="M29" s="17"/>
      <c r="N29" s="17"/>
      <c r="O29" s="1"/>
      <c r="P29" s="1" t="s">
        <v>36</v>
      </c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19">
        <v>1.7999999999999999E-2</v>
      </c>
      <c r="C30" s="22" t="str">
        <f t="shared" si="7"/>
        <v>Q3'18</v>
      </c>
      <c r="D30" s="24">
        <f>64.26+49.5</f>
        <v>113.76</v>
      </c>
      <c r="E30" s="15">
        <f t="shared" si="0"/>
        <v>6320.0000000000009</v>
      </c>
      <c r="F30" s="23">
        <v>63.18</v>
      </c>
      <c r="G30" s="15">
        <f t="shared" si="1"/>
        <v>3510.0000000000005</v>
      </c>
      <c r="H30" s="23">
        <v>75.33</v>
      </c>
      <c r="I30" s="15">
        <f t="shared" si="2"/>
        <v>4185</v>
      </c>
      <c r="J30" s="16">
        <f t="shared" si="3"/>
        <v>14015.000000000002</v>
      </c>
      <c r="K30" s="15">
        <f t="shared" si="5"/>
        <v>252.27</v>
      </c>
      <c r="L30" s="14">
        <v>252.27</v>
      </c>
      <c r="M30" s="25">
        <v>43381</v>
      </c>
      <c r="N30" s="25">
        <v>43381</v>
      </c>
      <c r="O30" s="1"/>
      <c r="P30" s="1" t="s">
        <v>37</v>
      </c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19">
        <v>1.7999999999999999E-2</v>
      </c>
      <c r="C31" s="22" t="str">
        <f t="shared" si="7"/>
        <v>Q4'18</v>
      </c>
      <c r="D31" s="23">
        <v>30.51</v>
      </c>
      <c r="E31" s="15">
        <f t="shared" si="0"/>
        <v>1695.0000000000002</v>
      </c>
      <c r="F31" s="23">
        <v>63.18</v>
      </c>
      <c r="G31" s="15">
        <f t="shared" si="1"/>
        <v>3510.0000000000005</v>
      </c>
      <c r="H31" s="23">
        <v>75.33</v>
      </c>
      <c r="I31" s="15">
        <f t="shared" si="2"/>
        <v>4185</v>
      </c>
      <c r="J31" s="16">
        <f t="shared" si="3"/>
        <v>9390.0000000000018</v>
      </c>
      <c r="K31" s="15">
        <f t="shared" si="5"/>
        <v>169.02</v>
      </c>
      <c r="L31" s="14">
        <v>169.02</v>
      </c>
      <c r="M31" s="25">
        <v>43471</v>
      </c>
      <c r="N31" s="25"/>
      <c r="O31" s="1"/>
      <c r="P31" s="1" t="s">
        <v>37</v>
      </c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19">
        <v>1.7999999999999999E-2</v>
      </c>
      <c r="C32" s="22" t="str">
        <f>LEFT(C28, 2)&amp;"'19"</f>
        <v>Q1'19</v>
      </c>
      <c r="D32" s="23">
        <v>78.680000000000007</v>
      </c>
      <c r="E32" s="15">
        <f t="shared" si="0"/>
        <v>4371.1111111111122</v>
      </c>
      <c r="F32" s="23">
        <v>63.18</v>
      </c>
      <c r="G32" s="15">
        <f t="shared" si="1"/>
        <v>3510.0000000000005</v>
      </c>
      <c r="H32" s="23">
        <v>74</v>
      </c>
      <c r="I32" s="15">
        <f t="shared" si="2"/>
        <v>4111.1111111111113</v>
      </c>
      <c r="J32" s="16">
        <f t="shared" si="3"/>
        <v>11992.222222222224</v>
      </c>
      <c r="K32" s="15">
        <f t="shared" si="5"/>
        <v>215.86</v>
      </c>
      <c r="L32" s="26">
        <v>215.86</v>
      </c>
      <c r="M32" s="25">
        <v>43558</v>
      </c>
      <c r="N32" s="25">
        <v>43558</v>
      </c>
      <c r="O32" s="1"/>
      <c r="P32" s="1" t="s">
        <v>37</v>
      </c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19">
        <v>1.7999999999999999E-2</v>
      </c>
      <c r="C33" s="22" t="str">
        <f t="shared" ref="C33:C35" si="8">LEFT(C29, 2)&amp;"'"&amp;RIGHT(C32, 2)</f>
        <v>Q2'19</v>
      </c>
      <c r="D33" s="23">
        <v>54.72</v>
      </c>
      <c r="E33" s="15">
        <f t="shared" si="0"/>
        <v>3040</v>
      </c>
      <c r="F33" s="23">
        <v>63.18</v>
      </c>
      <c r="G33" s="15">
        <f t="shared" si="1"/>
        <v>3510.0000000000005</v>
      </c>
      <c r="H33" s="23">
        <v>74</v>
      </c>
      <c r="I33" s="15">
        <f t="shared" si="2"/>
        <v>4111.1111111111113</v>
      </c>
      <c r="J33" s="16">
        <f t="shared" si="3"/>
        <v>10661.111111111113</v>
      </c>
      <c r="K33" s="15">
        <f t="shared" si="5"/>
        <v>191.9</v>
      </c>
      <c r="L33" s="14"/>
      <c r="M33" s="25"/>
      <c r="N33" s="25"/>
      <c r="O33" s="1"/>
      <c r="P33" s="1" t="s">
        <v>37</v>
      </c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19">
        <v>1.7999999999999999E-2</v>
      </c>
      <c r="C34" s="22" t="str">
        <f t="shared" si="8"/>
        <v>Q3'19</v>
      </c>
      <c r="D34" s="23"/>
      <c r="E34" s="15">
        <f t="shared" si="0"/>
        <v>0</v>
      </c>
      <c r="F34" s="23"/>
      <c r="G34" s="15">
        <f t="shared" si="1"/>
        <v>0</v>
      </c>
      <c r="H34" s="23"/>
      <c r="I34" s="15">
        <f t="shared" si="2"/>
        <v>0</v>
      </c>
      <c r="J34" s="16">
        <f t="shared" si="3"/>
        <v>0</v>
      </c>
      <c r="K34" s="15">
        <f t="shared" si="5"/>
        <v>0</v>
      </c>
      <c r="L34" s="14"/>
      <c r="M34" s="25"/>
      <c r="N34" s="25"/>
      <c r="O34" s="1"/>
      <c r="P34" s="1" t="s">
        <v>37</v>
      </c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19">
        <v>1.7999999999999999E-2</v>
      </c>
      <c r="C35" s="22" t="str">
        <f t="shared" si="8"/>
        <v>Q4'19</v>
      </c>
      <c r="D35" s="23"/>
      <c r="E35" s="15">
        <f t="shared" si="0"/>
        <v>0</v>
      </c>
      <c r="F35" s="23"/>
      <c r="G35" s="15">
        <f t="shared" si="1"/>
        <v>0</v>
      </c>
      <c r="H35" s="23"/>
      <c r="I35" s="15">
        <f t="shared" si="2"/>
        <v>0</v>
      </c>
      <c r="J35" s="16">
        <f t="shared" si="3"/>
        <v>0</v>
      </c>
      <c r="K35" s="15">
        <f t="shared" si="5"/>
        <v>0</v>
      </c>
      <c r="L35" s="14"/>
      <c r="M35" s="25"/>
      <c r="N35" s="25"/>
      <c r="O35" s="1"/>
      <c r="P35" s="1" t="s">
        <v>37</v>
      </c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conditionalFormatting sqref="L29">
    <cfRule type="cellIs" dxfId="5" priority="1" operator="equal">
      <formula>K29</formula>
    </cfRule>
  </conditionalFormatting>
  <conditionalFormatting sqref="L30:L35">
    <cfRule type="cellIs" dxfId="4" priority="2" operator="equal">
      <formula>K30</formula>
    </cfRule>
  </conditionalFormatting>
  <conditionalFormatting sqref="L28">
    <cfRule type="cellIs" dxfId="3" priority="3" operator="equal">
      <formula>K28</formula>
    </cfRule>
  </conditionalFormatting>
  <conditionalFormatting sqref="L27">
    <cfRule type="cellIs" dxfId="2" priority="4" operator="equal">
      <formula>K27</formula>
    </cfRule>
  </conditionalFormatting>
  <conditionalFormatting sqref="L26">
    <cfRule type="cellIs" dxfId="1" priority="5" operator="equal">
      <formula>K26</formula>
    </cfRule>
  </conditionalFormatting>
  <conditionalFormatting sqref="L23:L25">
    <cfRule type="cellIs" dxfId="0" priority="6" operator="equal">
      <formula>K23</formula>
    </cfRule>
  </conditionalFormatting>
  <pageMargins left="0.7" right="0.7" top="0.75" bottom="0.75" header="0" footer="0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M1000"/>
  <sheetViews>
    <sheetView workbookViewId="0">
      <pane xSplit="2" ySplit="4" topLeftCell="C19" activePane="bottomRight" state="frozen"/>
      <selection activeCell="C2" sqref="C2"/>
      <selection pane="topRight" activeCell="C2" sqref="C2"/>
      <selection pane="bottomLeft" activeCell="C2" sqref="C2"/>
      <selection pane="bottomRight" activeCell="J2" sqref="J2:L3"/>
    </sheetView>
  </sheetViews>
  <sheetFormatPr defaultColWidth="12.5703125" defaultRowHeight="15" customHeight="1" x14ac:dyDescent="0.2"/>
  <cols>
    <col min="1" max="1" width="8.140625" customWidth="1"/>
    <col min="2" max="2" width="6.42578125" customWidth="1"/>
    <col min="3" max="3" width="8.42578125" customWidth="1"/>
    <col min="4" max="4" width="10.140625" style="74" customWidth="1"/>
    <col min="5" max="5" width="36.28515625" customWidth="1"/>
    <col min="6" max="6" width="13.42578125" customWidth="1"/>
    <col min="7" max="8" width="14.7109375" customWidth="1"/>
    <col min="9" max="9" width="16.85546875" customWidth="1"/>
    <col min="10" max="10" width="12.28515625" customWidth="1"/>
    <col min="11" max="11" width="11.5703125" customWidth="1"/>
    <col min="12" max="12" width="10.140625" customWidth="1"/>
    <col min="13" max="26" width="8.5703125" customWidth="1"/>
  </cols>
  <sheetData>
    <row r="1" spans="1:12" ht="12.75" customHeight="1" x14ac:dyDescent="0.2">
      <c r="A1" s="43"/>
      <c r="B1" s="43"/>
      <c r="C1" s="43"/>
      <c r="D1" s="70" t="s">
        <v>107</v>
      </c>
      <c r="E1" s="40" t="s">
        <v>113</v>
      </c>
      <c r="F1" s="40"/>
      <c r="G1" s="40" t="s">
        <v>104</v>
      </c>
      <c r="H1" s="41"/>
      <c r="I1" s="40"/>
      <c r="J1" s="43"/>
      <c r="K1" s="43"/>
      <c r="L1" s="43"/>
    </row>
    <row r="2" spans="1:12" ht="12.75" customHeight="1" x14ac:dyDescent="0.2">
      <c r="A2" s="43"/>
      <c r="B2" s="43"/>
      <c r="C2" s="43"/>
      <c r="D2" s="70" t="s">
        <v>114</v>
      </c>
      <c r="E2" s="50" t="s">
        <v>105</v>
      </c>
      <c r="F2" s="44"/>
      <c r="G2" s="40">
        <v>3</v>
      </c>
      <c r="H2" s="41"/>
      <c r="I2" s="40" t="s">
        <v>41</v>
      </c>
      <c r="J2" s="40" t="s">
        <v>712</v>
      </c>
      <c r="K2" s="50" t="s">
        <v>50</v>
      </c>
      <c r="L2" s="50" t="s">
        <v>704</v>
      </c>
    </row>
    <row r="3" spans="1:12" ht="12.75" customHeight="1" x14ac:dyDescent="0.25">
      <c r="A3" s="45">
        <f>COUNTIF(A5:A65392, "&lt;&gt;")</f>
        <v>75</v>
      </c>
      <c r="B3" s="43">
        <f>MAX(B5:B852)</f>
        <v>2022</v>
      </c>
      <c r="C3" s="43"/>
      <c r="D3" s="83" t="str" cm="1">
        <f t="array" ref="D3">INDEX(D5:D65391, A3)</f>
        <v>12/5/2022</v>
      </c>
      <c r="E3" s="59"/>
      <c r="F3" s="84"/>
      <c r="G3" s="85" t="s">
        <v>40</v>
      </c>
      <c r="H3" s="85" cm="1">
        <f t="array" ref="H3">INDEX(H5:H65331, A3)</f>
        <v>0</v>
      </c>
      <c r="I3" s="86">
        <v>44964</v>
      </c>
      <c r="J3" s="64">
        <v>5</v>
      </c>
      <c r="K3" s="92">
        <v>35</v>
      </c>
      <c r="L3" s="92">
        <v>4950</v>
      </c>
    </row>
    <row r="4" spans="1:12" ht="12.75" customHeight="1" x14ac:dyDescent="0.2">
      <c r="A4" s="38" t="s">
        <v>42</v>
      </c>
      <c r="B4" s="38" t="s">
        <v>10</v>
      </c>
      <c r="C4" s="38" t="s">
        <v>54</v>
      </c>
      <c r="D4" s="72" t="s">
        <v>43</v>
      </c>
      <c r="E4" s="38" t="s">
        <v>44</v>
      </c>
      <c r="F4" s="42" t="s">
        <v>45</v>
      </c>
      <c r="G4" s="42" t="s">
        <v>46</v>
      </c>
      <c r="H4" s="42" t="s">
        <v>47</v>
      </c>
      <c r="I4" s="68" t="s">
        <v>676</v>
      </c>
      <c r="J4" s="43"/>
      <c r="K4" s="43"/>
      <c r="L4" s="43"/>
    </row>
    <row r="5" spans="1:12" ht="12.75" customHeight="1" x14ac:dyDescent="0.2">
      <c r="A5" s="40">
        <v>1</v>
      </c>
      <c r="B5" s="40">
        <v>2020</v>
      </c>
      <c r="C5" s="40" t="str">
        <f t="shared" ref="C5:C36" si="0">IFERROR("Late Fee "&amp;FIND("Late Fee",E5),IFERROR("Internet "&amp;FIND("Internet",E5),IFERROR("Utilities "&amp;FIND("Utilities",E5),IFERROR("Rent: "&amp;FIND("Rent",E5),IFERROR("Priv Tax: "&amp;FIND("Tax",E5),IFERROR("Income: "&amp;FIND("Payment",E5,1),""))))))</f>
        <v>Income: 1</v>
      </c>
      <c r="D5" s="77" t="s">
        <v>124</v>
      </c>
      <c r="E5" s="45" t="s">
        <v>49</v>
      </c>
      <c r="F5" s="41">
        <v>500</v>
      </c>
      <c r="G5" s="41">
        <v>0</v>
      </c>
      <c r="H5" s="41">
        <f xml:space="preserve"> G5 - F5</f>
        <v>-500</v>
      </c>
      <c r="I5" s="43">
        <v>2861</v>
      </c>
      <c r="J5" s="43"/>
      <c r="K5" s="43"/>
      <c r="L5" s="43"/>
    </row>
    <row r="6" spans="1:12" ht="12.75" customHeight="1" x14ac:dyDescent="0.2">
      <c r="A6" s="40">
        <v>2</v>
      </c>
      <c r="B6" s="40">
        <v>2020</v>
      </c>
      <c r="C6" s="40" t="str">
        <f t="shared" si="0"/>
        <v>Rent: 1</v>
      </c>
      <c r="D6" s="77" t="s">
        <v>125</v>
      </c>
      <c r="E6" s="40" t="s">
        <v>126</v>
      </c>
      <c r="F6" s="41">
        <v>0</v>
      </c>
      <c r="G6" s="41">
        <v>4950</v>
      </c>
      <c r="H6" s="41">
        <f t="shared" ref="H6:H37" si="1" xml:space="preserve"> H5 + G6 - F6</f>
        <v>4450</v>
      </c>
      <c r="I6" s="43">
        <v>2862</v>
      </c>
      <c r="J6" s="43"/>
      <c r="K6" s="43"/>
      <c r="L6" s="43"/>
    </row>
    <row r="7" spans="1:12" ht="12.75" customHeight="1" x14ac:dyDescent="0.2">
      <c r="A7" s="40">
        <v>2</v>
      </c>
      <c r="B7" s="40">
        <v>2020</v>
      </c>
      <c r="C7" s="40" t="str">
        <f t="shared" si="0"/>
        <v/>
      </c>
      <c r="D7" s="77" t="s">
        <v>125</v>
      </c>
      <c r="E7" s="40" t="s">
        <v>48</v>
      </c>
      <c r="F7" s="41">
        <v>0</v>
      </c>
      <c r="G7" s="41">
        <v>4950</v>
      </c>
      <c r="H7" s="41">
        <f t="shared" si="1"/>
        <v>9400</v>
      </c>
      <c r="I7" s="43">
        <v>2863</v>
      </c>
      <c r="J7" s="43"/>
      <c r="K7" s="43"/>
      <c r="L7" s="43"/>
    </row>
    <row r="8" spans="1:12" ht="12.75" customHeight="1" x14ac:dyDescent="0.2">
      <c r="A8" s="40">
        <v>2</v>
      </c>
      <c r="B8" s="40">
        <v>2020</v>
      </c>
      <c r="C8" s="40" t="str">
        <f t="shared" si="0"/>
        <v/>
      </c>
      <c r="D8" s="77" t="s">
        <v>125</v>
      </c>
      <c r="E8" s="40" t="s">
        <v>51</v>
      </c>
      <c r="F8" s="41">
        <v>0</v>
      </c>
      <c r="G8" s="41">
        <v>500</v>
      </c>
      <c r="H8" s="41">
        <f t="shared" si="1"/>
        <v>9900</v>
      </c>
      <c r="I8" s="43">
        <v>2864</v>
      </c>
      <c r="J8" s="43"/>
      <c r="K8" s="43"/>
      <c r="L8" s="43"/>
    </row>
    <row r="9" spans="1:12" ht="12.75" customHeight="1" x14ac:dyDescent="0.2">
      <c r="A9" s="40">
        <v>2</v>
      </c>
      <c r="B9" s="40">
        <v>2020</v>
      </c>
      <c r="C9" s="40" t="str">
        <f t="shared" si="0"/>
        <v>Income: 1</v>
      </c>
      <c r="D9" s="77" t="s">
        <v>127</v>
      </c>
      <c r="E9" s="45" t="s">
        <v>49</v>
      </c>
      <c r="F9" s="41">
        <v>9900</v>
      </c>
      <c r="G9" s="41">
        <v>0</v>
      </c>
      <c r="H9" s="41">
        <f t="shared" si="1"/>
        <v>0</v>
      </c>
      <c r="I9" s="43">
        <v>2865</v>
      </c>
      <c r="J9" s="43"/>
      <c r="K9" s="43"/>
      <c r="L9" s="43"/>
    </row>
    <row r="10" spans="1:12" ht="12" customHeight="1" x14ac:dyDescent="0.2">
      <c r="A10" s="40">
        <v>3</v>
      </c>
      <c r="B10" s="40">
        <v>2020</v>
      </c>
      <c r="C10" s="40" t="str">
        <f t="shared" si="0"/>
        <v>Rent: 1</v>
      </c>
      <c r="D10" s="77" t="s">
        <v>128</v>
      </c>
      <c r="E10" s="40" t="s">
        <v>129</v>
      </c>
      <c r="F10" s="41">
        <v>0</v>
      </c>
      <c r="G10" s="41">
        <v>4950</v>
      </c>
      <c r="H10" s="41">
        <f t="shared" si="1"/>
        <v>4950</v>
      </c>
      <c r="I10" s="43">
        <v>2866</v>
      </c>
      <c r="J10" s="43"/>
      <c r="K10" s="43"/>
      <c r="L10" s="43"/>
    </row>
    <row r="11" spans="1:12" ht="12.75" customHeight="1" x14ac:dyDescent="0.2">
      <c r="A11" s="40">
        <v>3</v>
      </c>
      <c r="B11" s="40">
        <v>2020</v>
      </c>
      <c r="C11" s="40" t="str">
        <f t="shared" si="0"/>
        <v>Income: 1</v>
      </c>
      <c r="D11" s="77" t="s">
        <v>130</v>
      </c>
      <c r="E11" s="45" t="s">
        <v>49</v>
      </c>
      <c r="F11" s="41">
        <v>4950</v>
      </c>
      <c r="G11" s="41">
        <v>0</v>
      </c>
      <c r="H11" s="41">
        <f t="shared" si="1"/>
        <v>0</v>
      </c>
      <c r="I11" s="43">
        <v>2867</v>
      </c>
      <c r="J11" s="43"/>
      <c r="K11" s="43"/>
      <c r="L11" s="43"/>
    </row>
    <row r="12" spans="1:12" ht="12" customHeight="1" x14ac:dyDescent="0.2">
      <c r="A12" s="40">
        <v>4</v>
      </c>
      <c r="B12" s="40">
        <v>2020</v>
      </c>
      <c r="C12" s="40" t="str">
        <f t="shared" si="0"/>
        <v>Rent: 1</v>
      </c>
      <c r="D12" s="77" t="s">
        <v>131</v>
      </c>
      <c r="E12" s="40" t="s">
        <v>132</v>
      </c>
      <c r="F12" s="41">
        <v>0</v>
      </c>
      <c r="G12" s="41">
        <v>4950</v>
      </c>
      <c r="H12" s="41">
        <f t="shared" si="1"/>
        <v>4950</v>
      </c>
      <c r="I12" s="43">
        <v>2868</v>
      </c>
      <c r="J12" s="43"/>
      <c r="K12" s="43"/>
      <c r="L12" s="43"/>
    </row>
    <row r="13" spans="1:12" ht="12" customHeight="1" x14ac:dyDescent="0.2">
      <c r="A13" s="40">
        <v>4</v>
      </c>
      <c r="B13" s="40">
        <v>2020</v>
      </c>
      <c r="C13" s="40" t="str">
        <f t="shared" si="0"/>
        <v>Income: 1</v>
      </c>
      <c r="D13" s="77" t="s">
        <v>133</v>
      </c>
      <c r="E13" s="45" t="s">
        <v>49</v>
      </c>
      <c r="F13" s="41">
        <v>4950</v>
      </c>
      <c r="G13" s="41">
        <v>0</v>
      </c>
      <c r="H13" s="41">
        <f t="shared" si="1"/>
        <v>0</v>
      </c>
      <c r="I13">
        <v>2869</v>
      </c>
    </row>
    <row r="14" spans="1:12" ht="12.75" customHeight="1" x14ac:dyDescent="0.2">
      <c r="A14" s="40">
        <v>5</v>
      </c>
      <c r="B14" s="40">
        <v>2020</v>
      </c>
      <c r="C14" s="40" t="str">
        <f t="shared" si="0"/>
        <v>Rent: 1</v>
      </c>
      <c r="D14" s="77" t="s">
        <v>134</v>
      </c>
      <c r="E14" s="40" t="s">
        <v>135</v>
      </c>
      <c r="F14" s="41">
        <v>0</v>
      </c>
      <c r="G14" s="41">
        <v>4950</v>
      </c>
      <c r="H14" s="41">
        <f t="shared" si="1"/>
        <v>4950</v>
      </c>
      <c r="I14">
        <v>2870</v>
      </c>
    </row>
    <row r="15" spans="1:12" ht="12.75" customHeight="1" x14ac:dyDescent="0.2">
      <c r="A15" s="40">
        <v>5</v>
      </c>
      <c r="B15" s="40">
        <v>2020</v>
      </c>
      <c r="C15" s="40" t="str">
        <f t="shared" si="0"/>
        <v>Income: 1</v>
      </c>
      <c r="D15" s="77" t="s">
        <v>136</v>
      </c>
      <c r="E15" s="45" t="s">
        <v>49</v>
      </c>
      <c r="F15" s="41">
        <v>4950</v>
      </c>
      <c r="G15" s="41">
        <v>0</v>
      </c>
      <c r="H15" s="41">
        <f t="shared" si="1"/>
        <v>0</v>
      </c>
      <c r="I15">
        <v>2871</v>
      </c>
    </row>
    <row r="16" spans="1:12" ht="12.75" customHeight="1" x14ac:dyDescent="0.2">
      <c r="A16" s="40">
        <v>6</v>
      </c>
      <c r="B16" s="40">
        <v>2020</v>
      </c>
      <c r="C16" s="40" t="str">
        <f t="shared" si="0"/>
        <v>Rent: 1</v>
      </c>
      <c r="D16" s="77" t="s">
        <v>137</v>
      </c>
      <c r="E16" s="40" t="s">
        <v>138</v>
      </c>
      <c r="F16" s="41">
        <v>0</v>
      </c>
      <c r="G16" s="41">
        <v>4950</v>
      </c>
      <c r="H16" s="41">
        <f t="shared" si="1"/>
        <v>4950</v>
      </c>
      <c r="I16">
        <v>2872</v>
      </c>
    </row>
    <row r="17" spans="1:9" ht="12.75" customHeight="1" x14ac:dyDescent="0.2">
      <c r="A17" s="40">
        <v>6</v>
      </c>
      <c r="B17" s="40">
        <v>2020</v>
      </c>
      <c r="C17" s="40" t="str">
        <f t="shared" si="0"/>
        <v>Income: 1</v>
      </c>
      <c r="D17" s="77" t="s">
        <v>139</v>
      </c>
      <c r="E17" s="45" t="s">
        <v>49</v>
      </c>
      <c r="F17" s="41">
        <v>4950</v>
      </c>
      <c r="G17" s="41">
        <v>0</v>
      </c>
      <c r="H17" s="41">
        <f t="shared" si="1"/>
        <v>0</v>
      </c>
      <c r="I17">
        <v>2873</v>
      </c>
    </row>
    <row r="18" spans="1:9" ht="12.75" customHeight="1" x14ac:dyDescent="0.2">
      <c r="A18" s="40">
        <v>6</v>
      </c>
      <c r="B18" s="40">
        <v>2020</v>
      </c>
      <c r="C18" s="40" t="str">
        <f t="shared" si="0"/>
        <v/>
      </c>
      <c r="D18" s="77" t="s">
        <v>140</v>
      </c>
      <c r="E18" s="40" t="s">
        <v>52</v>
      </c>
      <c r="F18" s="41">
        <v>873.87</v>
      </c>
      <c r="G18" s="41">
        <v>0</v>
      </c>
      <c r="H18" s="41">
        <f t="shared" si="1"/>
        <v>-873.87</v>
      </c>
      <c r="I18">
        <v>2874</v>
      </c>
    </row>
    <row r="19" spans="1:9" ht="12.75" customHeight="1" x14ac:dyDescent="0.2">
      <c r="A19" s="40">
        <v>7</v>
      </c>
      <c r="B19" s="40">
        <v>2020</v>
      </c>
      <c r="C19" s="40" t="str">
        <f t="shared" si="0"/>
        <v>Rent: 1</v>
      </c>
      <c r="D19" s="77" t="s">
        <v>141</v>
      </c>
      <c r="E19" s="40" t="s">
        <v>142</v>
      </c>
      <c r="F19" s="41">
        <v>0</v>
      </c>
      <c r="G19" s="41">
        <v>4950</v>
      </c>
      <c r="H19" s="41">
        <f t="shared" si="1"/>
        <v>4076.13</v>
      </c>
      <c r="I19">
        <v>2875</v>
      </c>
    </row>
    <row r="20" spans="1:9" ht="12.75" customHeight="1" x14ac:dyDescent="0.2">
      <c r="A20" s="40">
        <v>7</v>
      </c>
      <c r="B20" s="40">
        <v>2020</v>
      </c>
      <c r="C20" s="40" t="str">
        <f t="shared" si="0"/>
        <v>Income: 1</v>
      </c>
      <c r="D20" s="77" t="s">
        <v>143</v>
      </c>
      <c r="E20" s="45" t="s">
        <v>49</v>
      </c>
      <c r="F20" s="41">
        <v>4076.13</v>
      </c>
      <c r="G20" s="41">
        <v>0</v>
      </c>
      <c r="H20" s="41">
        <f t="shared" si="1"/>
        <v>0</v>
      </c>
      <c r="I20">
        <v>2876</v>
      </c>
    </row>
    <row r="21" spans="1:9" ht="12.75" customHeight="1" x14ac:dyDescent="0.2">
      <c r="A21" s="40">
        <v>8</v>
      </c>
      <c r="B21" s="40">
        <v>2020</v>
      </c>
      <c r="C21" s="40" t="str">
        <f t="shared" si="0"/>
        <v>Rent: 1</v>
      </c>
      <c r="D21" s="77" t="s">
        <v>144</v>
      </c>
      <c r="E21" s="40" t="s">
        <v>145</v>
      </c>
      <c r="F21" s="41">
        <v>0</v>
      </c>
      <c r="G21" s="41">
        <v>4950</v>
      </c>
      <c r="H21" s="41">
        <f t="shared" si="1"/>
        <v>4950</v>
      </c>
      <c r="I21">
        <v>2877</v>
      </c>
    </row>
    <row r="22" spans="1:9" ht="12.75" customHeight="1" x14ac:dyDescent="0.2">
      <c r="A22" s="40">
        <v>8</v>
      </c>
      <c r="B22" s="40">
        <v>2020</v>
      </c>
      <c r="C22" s="40" t="str">
        <f t="shared" si="0"/>
        <v>Income: 1</v>
      </c>
      <c r="D22" s="77" t="s">
        <v>146</v>
      </c>
      <c r="E22" s="45" t="s">
        <v>49</v>
      </c>
      <c r="F22" s="41">
        <v>4950</v>
      </c>
      <c r="G22" s="41">
        <v>0</v>
      </c>
      <c r="H22" s="41">
        <f t="shared" si="1"/>
        <v>0</v>
      </c>
      <c r="I22">
        <v>2878</v>
      </c>
    </row>
    <row r="23" spans="1:9" ht="12.75" customHeight="1" x14ac:dyDescent="0.2">
      <c r="A23" s="40">
        <v>9</v>
      </c>
      <c r="B23" s="40">
        <v>2020</v>
      </c>
      <c r="C23" s="40" t="str">
        <f t="shared" si="0"/>
        <v>Rent: 1</v>
      </c>
      <c r="D23" s="77" t="s">
        <v>147</v>
      </c>
      <c r="E23" s="40" t="s">
        <v>148</v>
      </c>
      <c r="F23" s="41">
        <v>0</v>
      </c>
      <c r="G23" s="41">
        <v>4950</v>
      </c>
      <c r="H23" s="41">
        <f t="shared" si="1"/>
        <v>4950</v>
      </c>
      <c r="I23">
        <v>2879</v>
      </c>
    </row>
    <row r="24" spans="1:9" ht="12.75" customHeight="1" x14ac:dyDescent="0.2">
      <c r="A24" s="40">
        <v>9</v>
      </c>
      <c r="B24" s="40">
        <v>2020</v>
      </c>
      <c r="C24" s="40" t="str">
        <f t="shared" si="0"/>
        <v>Income: 1</v>
      </c>
      <c r="D24" s="77" t="s">
        <v>149</v>
      </c>
      <c r="E24" s="45" t="s">
        <v>49</v>
      </c>
      <c r="F24" s="41">
        <v>4950</v>
      </c>
      <c r="G24" s="41">
        <v>0</v>
      </c>
      <c r="H24" s="41">
        <f t="shared" si="1"/>
        <v>0</v>
      </c>
      <c r="I24">
        <v>2880</v>
      </c>
    </row>
    <row r="25" spans="1:9" ht="12.75" customHeight="1" x14ac:dyDescent="0.2">
      <c r="A25" s="40">
        <v>10</v>
      </c>
      <c r="B25" s="40">
        <v>2020</v>
      </c>
      <c r="C25" s="40" t="str">
        <f t="shared" si="0"/>
        <v>Rent: 1</v>
      </c>
      <c r="D25" s="77" t="s">
        <v>150</v>
      </c>
      <c r="E25" s="40" t="s">
        <v>151</v>
      </c>
      <c r="F25" s="41">
        <v>0</v>
      </c>
      <c r="G25" s="41">
        <v>4950</v>
      </c>
      <c r="H25" s="41">
        <f t="shared" si="1"/>
        <v>4950</v>
      </c>
      <c r="I25">
        <v>2881</v>
      </c>
    </row>
    <row r="26" spans="1:9" ht="12.75" customHeight="1" x14ac:dyDescent="0.2">
      <c r="A26" s="40">
        <v>10</v>
      </c>
      <c r="B26" s="40">
        <v>2020</v>
      </c>
      <c r="C26" s="40" t="str">
        <f t="shared" si="0"/>
        <v>Income: 1</v>
      </c>
      <c r="D26" s="77" t="s">
        <v>152</v>
      </c>
      <c r="E26" s="45" t="s">
        <v>49</v>
      </c>
      <c r="F26" s="41">
        <v>4950</v>
      </c>
      <c r="G26" s="41">
        <v>0</v>
      </c>
      <c r="H26" s="41">
        <f t="shared" si="1"/>
        <v>0</v>
      </c>
      <c r="I26" s="29">
        <v>2882</v>
      </c>
    </row>
    <row r="27" spans="1:9" ht="12.75" customHeight="1" x14ac:dyDescent="0.2">
      <c r="A27" s="40">
        <v>11</v>
      </c>
      <c r="B27" s="40">
        <v>2020</v>
      </c>
      <c r="C27" s="40" t="str">
        <f t="shared" si="0"/>
        <v>Rent: 1</v>
      </c>
      <c r="D27" s="77" t="s">
        <v>153</v>
      </c>
      <c r="E27" s="40" t="s">
        <v>154</v>
      </c>
      <c r="F27" s="41">
        <v>0</v>
      </c>
      <c r="G27" s="41">
        <v>4950</v>
      </c>
      <c r="H27" s="41">
        <f t="shared" si="1"/>
        <v>4950</v>
      </c>
      <c r="I27">
        <v>2883</v>
      </c>
    </row>
    <row r="28" spans="1:9" ht="12.75" customHeight="1" x14ac:dyDescent="0.2">
      <c r="A28" s="40">
        <v>11</v>
      </c>
      <c r="B28" s="40">
        <v>2020</v>
      </c>
      <c r="C28" s="40" t="str">
        <f t="shared" si="0"/>
        <v/>
      </c>
      <c r="D28" s="77" t="s">
        <v>153</v>
      </c>
      <c r="E28" s="40" t="s">
        <v>53</v>
      </c>
      <c r="F28" s="41">
        <v>0</v>
      </c>
      <c r="G28" s="41">
        <v>350</v>
      </c>
      <c r="H28" s="41">
        <f t="shared" si="1"/>
        <v>5300</v>
      </c>
      <c r="I28">
        <v>2884</v>
      </c>
    </row>
    <row r="29" spans="1:9" ht="12.75" customHeight="1" x14ac:dyDescent="0.2">
      <c r="A29" s="40">
        <v>11</v>
      </c>
      <c r="B29" s="40">
        <v>2020</v>
      </c>
      <c r="C29" s="40" t="str">
        <f t="shared" si="0"/>
        <v>Income: 1</v>
      </c>
      <c r="D29" s="77" t="s">
        <v>155</v>
      </c>
      <c r="E29" s="45" t="s">
        <v>49</v>
      </c>
      <c r="F29" s="41">
        <v>5300</v>
      </c>
      <c r="G29" s="41">
        <v>0</v>
      </c>
      <c r="H29" s="41">
        <f t="shared" si="1"/>
        <v>0</v>
      </c>
      <c r="I29">
        <v>2885</v>
      </c>
    </row>
    <row r="30" spans="1:9" ht="12.75" customHeight="1" x14ac:dyDescent="0.2">
      <c r="A30" s="40">
        <v>12</v>
      </c>
      <c r="B30" s="40">
        <v>2020</v>
      </c>
      <c r="C30" s="40" t="str">
        <f t="shared" si="0"/>
        <v>Rent: 1</v>
      </c>
      <c r="D30" s="77" t="s">
        <v>156</v>
      </c>
      <c r="E30" s="40" t="s">
        <v>157</v>
      </c>
      <c r="F30" s="41">
        <v>0</v>
      </c>
      <c r="G30" s="41">
        <v>4950</v>
      </c>
      <c r="H30" s="41">
        <f t="shared" si="1"/>
        <v>4950</v>
      </c>
      <c r="I30">
        <v>2886</v>
      </c>
    </row>
    <row r="31" spans="1:9" ht="12.75" customHeight="1" x14ac:dyDescent="0.2">
      <c r="A31" s="40">
        <v>12</v>
      </c>
      <c r="B31" s="40">
        <v>2020</v>
      </c>
      <c r="C31" s="40" t="str">
        <f t="shared" si="0"/>
        <v>Income: 1</v>
      </c>
      <c r="D31" s="77" t="s">
        <v>158</v>
      </c>
      <c r="E31" s="45" t="s">
        <v>49</v>
      </c>
      <c r="F31" s="41">
        <v>4950</v>
      </c>
      <c r="G31" s="41">
        <v>0</v>
      </c>
      <c r="H31" s="41">
        <f t="shared" si="1"/>
        <v>0</v>
      </c>
      <c r="I31">
        <v>2887</v>
      </c>
    </row>
    <row r="32" spans="1:9" ht="12.75" customHeight="1" x14ac:dyDescent="0.2">
      <c r="A32" s="40">
        <v>1</v>
      </c>
      <c r="B32" s="40">
        <v>2020</v>
      </c>
      <c r="C32" s="40" t="str">
        <f t="shared" si="0"/>
        <v>Rent: 1</v>
      </c>
      <c r="D32" s="77" t="s">
        <v>159</v>
      </c>
      <c r="E32" s="40" t="s">
        <v>160</v>
      </c>
      <c r="F32" s="41">
        <v>0</v>
      </c>
      <c r="G32" s="41">
        <v>4950</v>
      </c>
      <c r="H32" s="41">
        <f t="shared" si="1"/>
        <v>4950</v>
      </c>
      <c r="I32">
        <v>2888</v>
      </c>
    </row>
    <row r="33" spans="1:13" ht="12.75" customHeight="1" x14ac:dyDescent="0.2">
      <c r="A33" s="40">
        <v>1</v>
      </c>
      <c r="B33" s="40">
        <v>2021</v>
      </c>
      <c r="C33" s="40" t="str">
        <f t="shared" si="0"/>
        <v>Income: 1</v>
      </c>
      <c r="D33" s="77" t="s">
        <v>161</v>
      </c>
      <c r="E33" s="45" t="s">
        <v>49</v>
      </c>
      <c r="F33" s="41">
        <v>4950</v>
      </c>
      <c r="G33" s="41">
        <v>0</v>
      </c>
      <c r="H33" s="41">
        <f t="shared" si="1"/>
        <v>0</v>
      </c>
      <c r="I33">
        <v>2889</v>
      </c>
    </row>
    <row r="34" spans="1:13" ht="12.75" customHeight="1" x14ac:dyDescent="0.2">
      <c r="A34" s="40">
        <v>2</v>
      </c>
      <c r="B34" s="40">
        <v>2021</v>
      </c>
      <c r="C34" s="40" t="str">
        <f t="shared" si="0"/>
        <v>Rent: 1</v>
      </c>
      <c r="D34" s="77" t="s">
        <v>162</v>
      </c>
      <c r="E34" s="40" t="s">
        <v>163</v>
      </c>
      <c r="F34" s="41">
        <v>0</v>
      </c>
      <c r="G34" s="41">
        <v>4950</v>
      </c>
      <c r="H34" s="41">
        <f t="shared" si="1"/>
        <v>4950</v>
      </c>
      <c r="I34" s="29">
        <v>2890</v>
      </c>
    </row>
    <row r="35" spans="1:13" ht="12.75" customHeight="1" x14ac:dyDescent="0.2">
      <c r="A35" s="40">
        <v>2</v>
      </c>
      <c r="B35" s="40">
        <v>2021</v>
      </c>
      <c r="C35" s="40" t="str">
        <f t="shared" si="0"/>
        <v>Income: 1</v>
      </c>
      <c r="D35" s="77" t="s">
        <v>164</v>
      </c>
      <c r="E35" s="45" t="s">
        <v>49</v>
      </c>
      <c r="F35" s="41">
        <v>4950</v>
      </c>
      <c r="G35" s="41">
        <v>0</v>
      </c>
      <c r="H35" s="41">
        <f t="shared" si="1"/>
        <v>0</v>
      </c>
      <c r="I35" s="28">
        <v>2891</v>
      </c>
      <c r="J35" s="29"/>
    </row>
    <row r="36" spans="1:13" ht="12.75" customHeight="1" x14ac:dyDescent="0.2">
      <c r="A36" s="40">
        <v>3</v>
      </c>
      <c r="B36" s="40">
        <v>2021</v>
      </c>
      <c r="C36" s="40" t="str">
        <f t="shared" si="0"/>
        <v>Rent: 1</v>
      </c>
      <c r="D36" s="77" t="s">
        <v>165</v>
      </c>
      <c r="E36" s="40" t="s">
        <v>166</v>
      </c>
      <c r="F36" s="41">
        <v>0</v>
      </c>
      <c r="G36" s="41">
        <v>4950</v>
      </c>
      <c r="H36" s="41">
        <f t="shared" si="1"/>
        <v>4950</v>
      </c>
      <c r="I36">
        <v>2892</v>
      </c>
    </row>
    <row r="37" spans="1:13" ht="12.75" customHeight="1" x14ac:dyDescent="0.2">
      <c r="A37" s="40">
        <v>3</v>
      </c>
      <c r="B37" s="40">
        <v>2021</v>
      </c>
      <c r="C37" s="40" t="str">
        <f t="shared" ref="C37:C68" si="2">IFERROR("Late Fee "&amp;FIND("Late Fee",E37),IFERROR("Internet "&amp;FIND("Internet",E37),IFERROR("Utilities "&amp;FIND("Utilities",E37),IFERROR("Rent: "&amp;FIND("Rent",E37),IFERROR("Priv Tax: "&amp;FIND("Tax",E37),IFERROR("Income: "&amp;FIND("Payment",E37,1),""))))))</f>
        <v>Income: 1</v>
      </c>
      <c r="D37" s="77" t="s">
        <v>167</v>
      </c>
      <c r="E37" s="45" t="s">
        <v>49</v>
      </c>
      <c r="F37" s="41">
        <v>4950</v>
      </c>
      <c r="G37" s="41">
        <v>0</v>
      </c>
      <c r="H37" s="41">
        <f t="shared" si="1"/>
        <v>0</v>
      </c>
      <c r="I37">
        <v>2893</v>
      </c>
    </row>
    <row r="38" spans="1:13" ht="12.75" customHeight="1" x14ac:dyDescent="0.2">
      <c r="A38" s="40">
        <v>4</v>
      </c>
      <c r="B38" s="40">
        <v>2021</v>
      </c>
      <c r="C38" s="40" t="str">
        <f t="shared" si="2"/>
        <v>Rent: 1</v>
      </c>
      <c r="D38" s="77" t="s">
        <v>168</v>
      </c>
      <c r="E38" s="40" t="s">
        <v>169</v>
      </c>
      <c r="F38" s="41">
        <v>0</v>
      </c>
      <c r="G38" s="41">
        <v>4950</v>
      </c>
      <c r="H38" s="41">
        <f t="shared" ref="H38:H69" si="3" xml:space="preserve"> H37 + G38 - F38</f>
        <v>4950</v>
      </c>
      <c r="I38">
        <v>2894</v>
      </c>
    </row>
    <row r="39" spans="1:13" ht="12.75" customHeight="1" x14ac:dyDescent="0.2">
      <c r="A39" s="40">
        <v>4</v>
      </c>
      <c r="B39" s="40">
        <v>2021</v>
      </c>
      <c r="C39" s="40" t="str">
        <f t="shared" si="2"/>
        <v>Income: 1</v>
      </c>
      <c r="D39" s="77" t="s">
        <v>170</v>
      </c>
      <c r="E39" s="45" t="s">
        <v>49</v>
      </c>
      <c r="F39" s="41">
        <v>4950</v>
      </c>
      <c r="G39" s="41">
        <v>0</v>
      </c>
      <c r="H39" s="41">
        <f t="shared" si="3"/>
        <v>0</v>
      </c>
      <c r="I39">
        <v>2895</v>
      </c>
    </row>
    <row r="40" spans="1:13" ht="12.75" customHeight="1" x14ac:dyDescent="0.2">
      <c r="A40" s="40">
        <v>5</v>
      </c>
      <c r="B40" s="40">
        <v>2021</v>
      </c>
      <c r="C40" s="40" t="str">
        <f t="shared" si="2"/>
        <v>Rent: 1</v>
      </c>
      <c r="D40" s="77" t="s">
        <v>171</v>
      </c>
      <c r="E40" s="40" t="s">
        <v>172</v>
      </c>
      <c r="F40" s="41">
        <v>0</v>
      </c>
      <c r="G40" s="41">
        <v>4950</v>
      </c>
      <c r="H40" s="41">
        <f t="shared" si="3"/>
        <v>4950</v>
      </c>
      <c r="I40">
        <v>2896</v>
      </c>
    </row>
    <row r="41" spans="1:13" ht="12.75" customHeight="1" x14ac:dyDescent="0.2">
      <c r="A41" s="40">
        <v>5</v>
      </c>
      <c r="B41" s="40">
        <v>2021</v>
      </c>
      <c r="C41" s="40" t="str">
        <f t="shared" si="2"/>
        <v>Income: 1</v>
      </c>
      <c r="D41" s="77" t="s">
        <v>173</v>
      </c>
      <c r="E41" s="45" t="s">
        <v>49</v>
      </c>
      <c r="F41" s="41">
        <v>4950</v>
      </c>
      <c r="G41" s="41">
        <v>0</v>
      </c>
      <c r="H41" s="41">
        <f t="shared" si="3"/>
        <v>0</v>
      </c>
      <c r="I41">
        <v>2897</v>
      </c>
    </row>
    <row r="42" spans="1:13" ht="12.75" customHeight="1" x14ac:dyDescent="0.2">
      <c r="A42" s="40">
        <v>6</v>
      </c>
      <c r="B42" s="40">
        <v>2021</v>
      </c>
      <c r="C42" s="40" t="str">
        <f t="shared" si="2"/>
        <v>Rent: 1</v>
      </c>
      <c r="D42" s="77" t="s">
        <v>174</v>
      </c>
      <c r="E42" s="40" t="s">
        <v>175</v>
      </c>
      <c r="F42" s="41">
        <v>0</v>
      </c>
      <c r="G42" s="41">
        <v>4950</v>
      </c>
      <c r="H42" s="41">
        <f t="shared" si="3"/>
        <v>4950</v>
      </c>
      <c r="I42">
        <v>2898</v>
      </c>
    </row>
    <row r="43" spans="1:13" ht="12.75" customHeight="1" x14ac:dyDescent="0.2">
      <c r="A43" s="40">
        <v>6</v>
      </c>
      <c r="B43" s="40">
        <v>2021</v>
      </c>
      <c r="C43" s="40" t="str">
        <f t="shared" si="2"/>
        <v>Income: 1</v>
      </c>
      <c r="D43" s="77" t="s">
        <v>176</v>
      </c>
      <c r="E43" s="45" t="s">
        <v>49</v>
      </c>
      <c r="F43" s="41">
        <v>4950</v>
      </c>
      <c r="G43" s="41">
        <v>0</v>
      </c>
      <c r="H43" s="41">
        <f t="shared" si="3"/>
        <v>0</v>
      </c>
      <c r="I43">
        <v>2899</v>
      </c>
    </row>
    <row r="44" spans="1:13" ht="12.75" customHeight="1" x14ac:dyDescent="0.2">
      <c r="A44" s="40">
        <v>7</v>
      </c>
      <c r="B44" s="40">
        <v>2021</v>
      </c>
      <c r="C44" s="40" t="str">
        <f t="shared" si="2"/>
        <v>Rent: 1</v>
      </c>
      <c r="D44" s="77" t="s">
        <v>177</v>
      </c>
      <c r="E44" s="40" t="s">
        <v>178</v>
      </c>
      <c r="F44" s="41">
        <v>0</v>
      </c>
      <c r="G44" s="41">
        <v>4950</v>
      </c>
      <c r="H44" s="41">
        <f t="shared" si="3"/>
        <v>4950</v>
      </c>
      <c r="I44">
        <v>2900</v>
      </c>
    </row>
    <row r="45" spans="1:13" ht="12.75" customHeight="1" x14ac:dyDescent="0.2">
      <c r="A45" s="40">
        <v>7</v>
      </c>
      <c r="B45" s="40">
        <v>2021</v>
      </c>
      <c r="C45" s="40" t="str">
        <f t="shared" si="2"/>
        <v>Income: 1</v>
      </c>
      <c r="D45" s="77" t="s">
        <v>179</v>
      </c>
      <c r="E45" s="45" t="s">
        <v>49</v>
      </c>
      <c r="F45" s="41">
        <v>4950</v>
      </c>
      <c r="G45" s="41">
        <v>0</v>
      </c>
      <c r="H45" s="41">
        <f t="shared" si="3"/>
        <v>0</v>
      </c>
      <c r="I45">
        <v>2901</v>
      </c>
    </row>
    <row r="46" spans="1:13" ht="12.75" customHeight="1" x14ac:dyDescent="0.2">
      <c r="A46" s="40">
        <v>8</v>
      </c>
      <c r="B46" s="40">
        <v>2021</v>
      </c>
      <c r="C46" s="40" t="str">
        <f t="shared" si="2"/>
        <v>Rent: 1</v>
      </c>
      <c r="D46" s="77" t="s">
        <v>180</v>
      </c>
      <c r="E46" s="40" t="s">
        <v>181</v>
      </c>
      <c r="F46" s="41">
        <v>0</v>
      </c>
      <c r="G46" s="41">
        <v>4950</v>
      </c>
      <c r="H46" s="41">
        <f t="shared" si="3"/>
        <v>4950</v>
      </c>
      <c r="I46">
        <v>2902</v>
      </c>
    </row>
    <row r="47" spans="1:13" ht="12.75" customHeight="1" x14ac:dyDescent="0.2">
      <c r="A47" s="40">
        <v>8</v>
      </c>
      <c r="B47" s="40">
        <v>2021</v>
      </c>
      <c r="C47" s="40" t="str">
        <f t="shared" si="2"/>
        <v>Income: 1</v>
      </c>
      <c r="D47" s="77" t="s">
        <v>182</v>
      </c>
      <c r="E47" s="45" t="s">
        <v>49</v>
      </c>
      <c r="F47" s="41">
        <v>4950</v>
      </c>
      <c r="G47" s="41">
        <v>0</v>
      </c>
      <c r="H47" s="41">
        <f t="shared" si="3"/>
        <v>0</v>
      </c>
      <c r="I47">
        <v>2903</v>
      </c>
      <c r="M47" s="29"/>
    </row>
    <row r="48" spans="1:13" ht="12.75" customHeight="1" x14ac:dyDescent="0.2">
      <c r="A48" s="40">
        <v>9</v>
      </c>
      <c r="B48" s="40">
        <v>2021</v>
      </c>
      <c r="C48" s="40" t="str">
        <f t="shared" si="2"/>
        <v>Rent: 1</v>
      </c>
      <c r="D48" s="77" t="s">
        <v>183</v>
      </c>
      <c r="E48" s="40" t="s">
        <v>184</v>
      </c>
      <c r="F48" s="41">
        <v>0</v>
      </c>
      <c r="G48" s="41">
        <v>4950</v>
      </c>
      <c r="H48" s="41">
        <f t="shared" si="3"/>
        <v>4950</v>
      </c>
      <c r="I48">
        <v>2904</v>
      </c>
    </row>
    <row r="49" spans="1:10" ht="12.75" customHeight="1" x14ac:dyDescent="0.2">
      <c r="A49" s="40">
        <v>9</v>
      </c>
      <c r="B49" s="40">
        <v>2021</v>
      </c>
      <c r="C49" s="40" t="str">
        <f t="shared" si="2"/>
        <v>Income: 1</v>
      </c>
      <c r="D49" s="77" t="s">
        <v>185</v>
      </c>
      <c r="E49" s="45" t="s">
        <v>49</v>
      </c>
      <c r="F49" s="41">
        <v>4950</v>
      </c>
      <c r="G49" s="41">
        <v>0</v>
      </c>
      <c r="H49" s="41">
        <f t="shared" si="3"/>
        <v>0</v>
      </c>
      <c r="I49">
        <v>2905</v>
      </c>
    </row>
    <row r="50" spans="1:10" ht="12.75" customHeight="1" x14ac:dyDescent="0.2">
      <c r="A50" s="40">
        <v>10</v>
      </c>
      <c r="B50" s="40">
        <v>2021</v>
      </c>
      <c r="C50" s="40" t="str">
        <f t="shared" si="2"/>
        <v>Rent: 1</v>
      </c>
      <c r="D50" s="77" t="s">
        <v>186</v>
      </c>
      <c r="E50" s="40" t="s">
        <v>187</v>
      </c>
      <c r="F50" s="41">
        <v>0</v>
      </c>
      <c r="G50" s="41">
        <v>4950</v>
      </c>
      <c r="H50" s="41">
        <f t="shared" si="3"/>
        <v>4950</v>
      </c>
      <c r="I50">
        <v>2906</v>
      </c>
    </row>
    <row r="51" spans="1:10" ht="12.75" customHeight="1" x14ac:dyDescent="0.2">
      <c r="A51" s="40">
        <v>10</v>
      </c>
      <c r="B51" s="40">
        <v>2021</v>
      </c>
      <c r="C51" s="40" t="str">
        <f t="shared" si="2"/>
        <v>Income: 1</v>
      </c>
      <c r="D51" s="77" t="s">
        <v>188</v>
      </c>
      <c r="E51" s="45" t="s">
        <v>49</v>
      </c>
      <c r="F51" s="41">
        <v>4950</v>
      </c>
      <c r="G51" s="41">
        <v>0</v>
      </c>
      <c r="H51" s="41">
        <f t="shared" si="3"/>
        <v>0</v>
      </c>
      <c r="I51">
        <v>2907</v>
      </c>
    </row>
    <row r="52" spans="1:10" ht="12.75" customHeight="1" x14ac:dyDescent="0.2">
      <c r="A52" s="40">
        <v>11</v>
      </c>
      <c r="B52" s="40">
        <v>2021</v>
      </c>
      <c r="C52" s="40" t="str">
        <f t="shared" si="2"/>
        <v>Rent: 1</v>
      </c>
      <c r="D52" s="77" t="s">
        <v>189</v>
      </c>
      <c r="E52" s="40" t="s">
        <v>190</v>
      </c>
      <c r="F52" s="41">
        <v>0</v>
      </c>
      <c r="G52" s="41">
        <v>4950</v>
      </c>
      <c r="H52" s="41">
        <f t="shared" si="3"/>
        <v>4950</v>
      </c>
      <c r="I52">
        <v>2908</v>
      </c>
    </row>
    <row r="53" spans="1:10" ht="12.75" customHeight="1" x14ac:dyDescent="0.2">
      <c r="A53" s="40">
        <v>11</v>
      </c>
      <c r="B53" s="40">
        <v>2021</v>
      </c>
      <c r="C53" s="40" t="str">
        <f t="shared" si="2"/>
        <v>Income: 1</v>
      </c>
      <c r="D53" s="77" t="s">
        <v>191</v>
      </c>
      <c r="E53" s="45" t="s">
        <v>49</v>
      </c>
      <c r="F53" s="41">
        <v>4950</v>
      </c>
      <c r="G53" s="41">
        <v>0</v>
      </c>
      <c r="H53" s="41">
        <f t="shared" si="3"/>
        <v>0</v>
      </c>
      <c r="I53">
        <v>2909</v>
      </c>
    </row>
    <row r="54" spans="1:10" ht="12.75" customHeight="1" x14ac:dyDescent="0.2">
      <c r="A54" s="40">
        <v>12</v>
      </c>
      <c r="B54" s="40">
        <v>2021</v>
      </c>
      <c r="C54" s="40" t="str">
        <f t="shared" si="2"/>
        <v>Rent: 1</v>
      </c>
      <c r="D54" s="77" t="s">
        <v>192</v>
      </c>
      <c r="E54" s="40" t="s">
        <v>193</v>
      </c>
      <c r="F54" s="41">
        <v>0</v>
      </c>
      <c r="G54" s="41">
        <v>4950</v>
      </c>
      <c r="H54" s="41">
        <f t="shared" si="3"/>
        <v>4950</v>
      </c>
      <c r="I54">
        <v>2910</v>
      </c>
    </row>
    <row r="55" spans="1:10" ht="12.75" customHeight="1" x14ac:dyDescent="0.2">
      <c r="A55" s="40">
        <v>12</v>
      </c>
      <c r="B55" s="40">
        <v>2021</v>
      </c>
      <c r="C55" s="40" t="str">
        <f t="shared" si="2"/>
        <v>Income: 1</v>
      </c>
      <c r="D55" s="77" t="s">
        <v>194</v>
      </c>
      <c r="E55" s="45" t="s">
        <v>49</v>
      </c>
      <c r="F55" s="41">
        <v>4950</v>
      </c>
      <c r="G55" s="41">
        <v>0</v>
      </c>
      <c r="H55" s="41">
        <f t="shared" si="3"/>
        <v>0</v>
      </c>
      <c r="I55" s="29">
        <v>2911</v>
      </c>
    </row>
    <row r="56" spans="1:10" ht="12.75" customHeight="1" x14ac:dyDescent="0.2">
      <c r="A56" s="40">
        <v>1</v>
      </c>
      <c r="B56" s="40">
        <v>2022</v>
      </c>
      <c r="C56" s="40" t="str">
        <f t="shared" si="2"/>
        <v>Rent: 1</v>
      </c>
      <c r="D56" s="77" t="s">
        <v>195</v>
      </c>
      <c r="E56" s="40" t="s">
        <v>196</v>
      </c>
      <c r="F56" s="41">
        <v>0</v>
      </c>
      <c r="G56" s="41">
        <v>4950</v>
      </c>
      <c r="H56" s="41">
        <f t="shared" si="3"/>
        <v>4950</v>
      </c>
      <c r="I56">
        <v>2912</v>
      </c>
    </row>
    <row r="57" spans="1:10" ht="12.75" customHeight="1" x14ac:dyDescent="0.2">
      <c r="A57" s="40">
        <v>1</v>
      </c>
      <c r="B57" s="40">
        <v>2022</v>
      </c>
      <c r="C57" s="40" t="str">
        <f t="shared" si="2"/>
        <v>Income: 1</v>
      </c>
      <c r="D57" s="77" t="s">
        <v>197</v>
      </c>
      <c r="E57" s="45" t="s">
        <v>49</v>
      </c>
      <c r="F57" s="41">
        <v>4950</v>
      </c>
      <c r="G57" s="41">
        <v>0</v>
      </c>
      <c r="H57" s="41">
        <f t="shared" si="3"/>
        <v>0</v>
      </c>
      <c r="I57">
        <v>2913</v>
      </c>
    </row>
    <row r="58" spans="1:10" ht="12.75" customHeight="1" x14ac:dyDescent="0.2">
      <c r="A58" s="40">
        <v>2</v>
      </c>
      <c r="B58" s="40">
        <v>2022</v>
      </c>
      <c r="C58" s="40" t="str">
        <f t="shared" si="2"/>
        <v>Rent: 1</v>
      </c>
      <c r="D58" s="77" t="s">
        <v>198</v>
      </c>
      <c r="E58" s="40" t="s">
        <v>199</v>
      </c>
      <c r="F58" s="41">
        <v>0</v>
      </c>
      <c r="G58" s="41">
        <v>4950</v>
      </c>
      <c r="H58" s="41">
        <f t="shared" si="3"/>
        <v>4950</v>
      </c>
      <c r="I58">
        <v>2914</v>
      </c>
    </row>
    <row r="59" spans="1:10" ht="12.75" customHeight="1" x14ac:dyDescent="0.2">
      <c r="A59" s="40">
        <v>2</v>
      </c>
      <c r="B59" s="40">
        <v>2022</v>
      </c>
      <c r="C59" s="40" t="str">
        <f t="shared" si="2"/>
        <v>Income: 1</v>
      </c>
      <c r="D59" s="77" t="s">
        <v>200</v>
      </c>
      <c r="E59" s="45" t="s">
        <v>49</v>
      </c>
      <c r="F59" s="41">
        <v>4950</v>
      </c>
      <c r="G59" s="41">
        <v>0</v>
      </c>
      <c r="H59" s="41">
        <f t="shared" si="3"/>
        <v>0</v>
      </c>
      <c r="I59">
        <v>2915</v>
      </c>
    </row>
    <row r="60" spans="1:10" ht="12.75" customHeight="1" x14ac:dyDescent="0.2">
      <c r="A60" s="40">
        <v>3</v>
      </c>
      <c r="B60" s="40">
        <v>2022</v>
      </c>
      <c r="C60" s="40" t="str">
        <f t="shared" si="2"/>
        <v>Rent: 1</v>
      </c>
      <c r="D60" s="77" t="s">
        <v>201</v>
      </c>
      <c r="E60" s="40" t="s">
        <v>202</v>
      </c>
      <c r="F60" s="41">
        <v>0</v>
      </c>
      <c r="G60" s="41">
        <v>4950</v>
      </c>
      <c r="H60" s="41">
        <f t="shared" si="3"/>
        <v>4950</v>
      </c>
      <c r="I60">
        <v>2916</v>
      </c>
    </row>
    <row r="61" spans="1:10" ht="12.75" customHeight="1" x14ac:dyDescent="0.2">
      <c r="A61" s="40">
        <v>3</v>
      </c>
      <c r="B61" s="40">
        <v>2022</v>
      </c>
      <c r="C61" s="40" t="str">
        <f t="shared" si="2"/>
        <v>Income: 1</v>
      </c>
      <c r="D61" s="77" t="s">
        <v>203</v>
      </c>
      <c r="E61" s="45" t="s">
        <v>49</v>
      </c>
      <c r="F61" s="41">
        <v>4950</v>
      </c>
      <c r="G61" s="41">
        <v>0</v>
      </c>
      <c r="H61" s="41">
        <f t="shared" si="3"/>
        <v>0</v>
      </c>
      <c r="I61" s="51">
        <v>2917</v>
      </c>
    </row>
    <row r="62" spans="1:10" ht="12.75" customHeight="1" x14ac:dyDescent="0.2">
      <c r="A62" s="40">
        <v>4</v>
      </c>
      <c r="B62" s="40">
        <v>2022</v>
      </c>
      <c r="C62" s="40" t="str">
        <f t="shared" si="2"/>
        <v>Rent: 1</v>
      </c>
      <c r="D62" s="77" t="s">
        <v>204</v>
      </c>
      <c r="E62" s="40" t="s">
        <v>205</v>
      </c>
      <c r="F62" s="41">
        <v>0</v>
      </c>
      <c r="G62" s="41">
        <v>4950</v>
      </c>
      <c r="H62" s="41">
        <f t="shared" si="3"/>
        <v>4950</v>
      </c>
      <c r="I62" s="28">
        <v>2918</v>
      </c>
      <c r="J62" s="29"/>
    </row>
    <row r="63" spans="1:10" ht="12.75" customHeight="1" x14ac:dyDescent="0.2">
      <c r="A63" s="40">
        <v>4</v>
      </c>
      <c r="B63" s="40">
        <v>2022</v>
      </c>
      <c r="C63" s="40" t="str">
        <f t="shared" si="2"/>
        <v>Income: 1</v>
      </c>
      <c r="D63" s="77" t="s">
        <v>206</v>
      </c>
      <c r="E63" s="45" t="s">
        <v>49</v>
      </c>
      <c r="F63" s="41">
        <v>4950</v>
      </c>
      <c r="G63" s="41">
        <v>0</v>
      </c>
      <c r="H63" s="41">
        <f t="shared" si="3"/>
        <v>0</v>
      </c>
      <c r="I63">
        <v>2919</v>
      </c>
    </row>
    <row r="64" spans="1:10" ht="12.75" customHeight="1" x14ac:dyDescent="0.2">
      <c r="A64" s="40">
        <v>5</v>
      </c>
      <c r="B64" s="40">
        <v>2022</v>
      </c>
      <c r="C64" s="40" t="str">
        <f t="shared" si="2"/>
        <v>Rent: 1</v>
      </c>
      <c r="D64" s="77" t="s">
        <v>207</v>
      </c>
      <c r="E64" s="40" t="s">
        <v>208</v>
      </c>
      <c r="F64" s="41">
        <v>0</v>
      </c>
      <c r="G64" s="41">
        <v>4950</v>
      </c>
      <c r="H64" s="41">
        <f t="shared" si="3"/>
        <v>4950</v>
      </c>
      <c r="I64">
        <v>2920</v>
      </c>
    </row>
    <row r="65" spans="1:9" ht="12.75" customHeight="1" x14ac:dyDescent="0.2">
      <c r="A65" s="40">
        <v>5</v>
      </c>
      <c r="B65" s="40">
        <v>2022</v>
      </c>
      <c r="C65" s="40" t="str">
        <f t="shared" si="2"/>
        <v>Income: 1</v>
      </c>
      <c r="D65" s="77" t="s">
        <v>209</v>
      </c>
      <c r="E65" s="45" t="s">
        <v>49</v>
      </c>
      <c r="F65" s="41">
        <v>4950</v>
      </c>
      <c r="G65" s="41">
        <v>0</v>
      </c>
      <c r="H65" s="41">
        <f t="shared" si="3"/>
        <v>0</v>
      </c>
      <c r="I65">
        <v>2921</v>
      </c>
    </row>
    <row r="66" spans="1:9" ht="12.75" customHeight="1" x14ac:dyDescent="0.2">
      <c r="A66" s="40">
        <v>6</v>
      </c>
      <c r="B66" s="40">
        <v>2022</v>
      </c>
      <c r="C66" s="40" t="str">
        <f t="shared" si="2"/>
        <v>Rent: 1</v>
      </c>
      <c r="D66" s="77" t="s">
        <v>210</v>
      </c>
      <c r="E66" s="40" t="s">
        <v>211</v>
      </c>
      <c r="F66" s="41">
        <v>0</v>
      </c>
      <c r="G66" s="41">
        <v>4950</v>
      </c>
      <c r="H66" s="41">
        <f t="shared" si="3"/>
        <v>4950</v>
      </c>
      <c r="I66">
        <v>2922</v>
      </c>
    </row>
    <row r="67" spans="1:9" ht="12.75" customHeight="1" x14ac:dyDescent="0.2">
      <c r="A67" s="40">
        <v>6</v>
      </c>
      <c r="B67" s="40">
        <v>2022</v>
      </c>
      <c r="C67" s="40" t="str">
        <f t="shared" si="2"/>
        <v>Income: 1</v>
      </c>
      <c r="D67" s="77" t="s">
        <v>212</v>
      </c>
      <c r="E67" s="45" t="s">
        <v>49</v>
      </c>
      <c r="F67" s="41">
        <v>4950</v>
      </c>
      <c r="G67" s="41">
        <v>0</v>
      </c>
      <c r="H67" s="41">
        <f t="shared" si="3"/>
        <v>0</v>
      </c>
      <c r="I67">
        <v>2923</v>
      </c>
    </row>
    <row r="68" spans="1:9" ht="12.75" customHeight="1" x14ac:dyDescent="0.2">
      <c r="A68" s="40">
        <v>7</v>
      </c>
      <c r="B68" s="40">
        <v>2022</v>
      </c>
      <c r="C68" s="40" t="str">
        <f t="shared" si="2"/>
        <v>Rent: 1</v>
      </c>
      <c r="D68" s="77" t="s">
        <v>213</v>
      </c>
      <c r="E68" s="40" t="s">
        <v>214</v>
      </c>
      <c r="F68" s="41">
        <v>0</v>
      </c>
      <c r="G68" s="41">
        <v>4950</v>
      </c>
      <c r="H68" s="41">
        <f t="shared" si="3"/>
        <v>4950</v>
      </c>
      <c r="I68">
        <v>2924</v>
      </c>
    </row>
    <row r="69" spans="1:9" ht="12.75" customHeight="1" x14ac:dyDescent="0.2">
      <c r="A69" s="40">
        <v>7</v>
      </c>
      <c r="B69" s="40">
        <v>2022</v>
      </c>
      <c r="C69" s="40" t="str">
        <f t="shared" ref="C69:C79" si="4">IFERROR("Late Fee "&amp;FIND("Late Fee",E69),IFERROR("Internet "&amp;FIND("Internet",E69),IFERROR("Utilities "&amp;FIND("Utilities",E69),IFERROR("Rent: "&amp;FIND("Rent",E69),IFERROR("Priv Tax: "&amp;FIND("Tax",E69),IFERROR("Income: "&amp;FIND("Payment",E69,1),""))))))</f>
        <v>Income: 1</v>
      </c>
      <c r="D69" s="77" t="s">
        <v>215</v>
      </c>
      <c r="E69" s="45" t="s">
        <v>49</v>
      </c>
      <c r="F69" s="41">
        <v>4950</v>
      </c>
      <c r="G69" s="41">
        <v>0</v>
      </c>
      <c r="H69" s="41">
        <f t="shared" si="3"/>
        <v>0</v>
      </c>
      <c r="I69">
        <v>2925</v>
      </c>
    </row>
    <row r="70" spans="1:9" ht="12.75" customHeight="1" x14ac:dyDescent="0.2">
      <c r="A70" s="40">
        <v>8</v>
      </c>
      <c r="B70" s="40">
        <v>2022</v>
      </c>
      <c r="C70" s="40" t="str">
        <f t="shared" si="4"/>
        <v>Rent: 1</v>
      </c>
      <c r="D70" s="77" t="s">
        <v>216</v>
      </c>
      <c r="E70" s="40" t="s">
        <v>217</v>
      </c>
      <c r="F70" s="41">
        <v>0</v>
      </c>
      <c r="G70" s="41">
        <v>4950</v>
      </c>
      <c r="H70" s="41">
        <f t="shared" ref="H70:H79" si="5" xml:space="preserve"> H69 + G70 - F70</f>
        <v>4950</v>
      </c>
      <c r="I70">
        <v>2926</v>
      </c>
    </row>
    <row r="71" spans="1:9" ht="12.75" customHeight="1" x14ac:dyDescent="0.2">
      <c r="A71" s="40">
        <v>8</v>
      </c>
      <c r="B71" s="40">
        <v>2022</v>
      </c>
      <c r="C71" s="40" t="str">
        <f t="shared" si="4"/>
        <v>Income: 1</v>
      </c>
      <c r="D71" s="77" t="s">
        <v>218</v>
      </c>
      <c r="E71" s="45" t="s">
        <v>49</v>
      </c>
      <c r="F71" s="41">
        <v>4950</v>
      </c>
      <c r="G71" s="41">
        <v>0</v>
      </c>
      <c r="H71" s="41">
        <f t="shared" si="5"/>
        <v>0</v>
      </c>
      <c r="I71">
        <v>2927</v>
      </c>
    </row>
    <row r="72" spans="1:9" ht="12.75" customHeight="1" x14ac:dyDescent="0.2">
      <c r="A72" s="40">
        <v>9</v>
      </c>
      <c r="B72" s="40">
        <v>2022</v>
      </c>
      <c r="C72" s="40" t="str">
        <f t="shared" si="4"/>
        <v>Rent: 1</v>
      </c>
      <c r="D72" s="77" t="s">
        <v>219</v>
      </c>
      <c r="E72" s="40" t="s">
        <v>220</v>
      </c>
      <c r="F72" s="41">
        <v>0</v>
      </c>
      <c r="G72" s="41">
        <v>4950</v>
      </c>
      <c r="H72" s="41">
        <f t="shared" si="5"/>
        <v>4950</v>
      </c>
      <c r="I72">
        <v>2928</v>
      </c>
    </row>
    <row r="73" spans="1:9" ht="12.75" customHeight="1" x14ac:dyDescent="0.2">
      <c r="A73" s="40">
        <v>9</v>
      </c>
      <c r="B73" s="40">
        <v>2022</v>
      </c>
      <c r="C73" s="40" t="str">
        <f t="shared" si="4"/>
        <v>Income: 1</v>
      </c>
      <c r="D73" s="77" t="s">
        <v>221</v>
      </c>
      <c r="E73" s="45" t="s">
        <v>49</v>
      </c>
      <c r="F73" s="41">
        <v>4950</v>
      </c>
      <c r="G73" s="41">
        <v>0</v>
      </c>
      <c r="H73" s="41">
        <f t="shared" si="5"/>
        <v>0</v>
      </c>
      <c r="I73">
        <v>2929</v>
      </c>
    </row>
    <row r="74" spans="1:9" ht="12.75" customHeight="1" x14ac:dyDescent="0.2">
      <c r="A74" s="40">
        <v>10</v>
      </c>
      <c r="B74" s="40">
        <v>2022</v>
      </c>
      <c r="C74" s="40" t="str">
        <f t="shared" si="4"/>
        <v>Rent: 1</v>
      </c>
      <c r="D74" s="77" t="s">
        <v>222</v>
      </c>
      <c r="E74" s="40" t="s">
        <v>223</v>
      </c>
      <c r="F74" s="41">
        <v>0</v>
      </c>
      <c r="G74" s="41">
        <v>4950</v>
      </c>
      <c r="H74" s="41">
        <f t="shared" si="5"/>
        <v>4950</v>
      </c>
      <c r="I74">
        <v>2930</v>
      </c>
    </row>
    <row r="75" spans="1:9" ht="12.75" customHeight="1" x14ac:dyDescent="0.2">
      <c r="A75" s="40">
        <v>10</v>
      </c>
      <c r="B75" s="40">
        <v>2022</v>
      </c>
      <c r="C75" s="40" t="str">
        <f t="shared" si="4"/>
        <v>Income: 1</v>
      </c>
      <c r="D75" s="77" t="s">
        <v>224</v>
      </c>
      <c r="E75" s="45" t="s">
        <v>49</v>
      </c>
      <c r="F75" s="41">
        <v>4950</v>
      </c>
      <c r="G75" s="41">
        <v>0</v>
      </c>
      <c r="H75" s="41">
        <f t="shared" si="5"/>
        <v>0</v>
      </c>
      <c r="I75">
        <v>2931</v>
      </c>
    </row>
    <row r="76" spans="1:9" ht="12.75" customHeight="1" x14ac:dyDescent="0.2">
      <c r="A76" s="40">
        <v>11</v>
      </c>
      <c r="B76" s="40">
        <v>2022</v>
      </c>
      <c r="C76" s="40" t="str">
        <f t="shared" si="4"/>
        <v>Rent: 1</v>
      </c>
      <c r="D76" s="77" t="s">
        <v>225</v>
      </c>
      <c r="E76" s="40" t="s">
        <v>226</v>
      </c>
      <c r="F76" s="41">
        <v>0</v>
      </c>
      <c r="G76" s="41">
        <v>4950</v>
      </c>
      <c r="H76" s="41">
        <f t="shared" si="5"/>
        <v>4950</v>
      </c>
      <c r="I76">
        <v>2932</v>
      </c>
    </row>
    <row r="77" spans="1:9" ht="12.75" customHeight="1" x14ac:dyDescent="0.2">
      <c r="A77" s="40">
        <v>11</v>
      </c>
      <c r="B77" s="40">
        <v>2022</v>
      </c>
      <c r="C77" s="40" t="str">
        <f t="shared" si="4"/>
        <v>Income: 1</v>
      </c>
      <c r="D77" s="77" t="s">
        <v>227</v>
      </c>
      <c r="E77" s="45" t="s">
        <v>49</v>
      </c>
      <c r="F77" s="41">
        <v>4950</v>
      </c>
      <c r="G77" s="41">
        <v>0</v>
      </c>
      <c r="H77" s="41">
        <f t="shared" si="5"/>
        <v>0</v>
      </c>
      <c r="I77">
        <v>2933</v>
      </c>
    </row>
    <row r="78" spans="1:9" ht="12.75" customHeight="1" x14ac:dyDescent="0.2">
      <c r="A78" s="40">
        <v>12</v>
      </c>
      <c r="B78" s="40">
        <v>2022</v>
      </c>
      <c r="C78" s="40" t="str">
        <f t="shared" si="4"/>
        <v>Rent: 1</v>
      </c>
      <c r="D78" s="77" t="s">
        <v>228</v>
      </c>
      <c r="E78" s="40" t="s">
        <v>229</v>
      </c>
      <c r="F78" s="41">
        <v>0</v>
      </c>
      <c r="G78" s="41">
        <v>4950</v>
      </c>
      <c r="H78" s="41">
        <f t="shared" si="5"/>
        <v>4950</v>
      </c>
      <c r="I78">
        <v>2934</v>
      </c>
    </row>
    <row r="79" spans="1:9" ht="12.75" customHeight="1" x14ac:dyDescent="0.2">
      <c r="A79" s="40">
        <v>12</v>
      </c>
      <c r="B79" s="40">
        <v>2022</v>
      </c>
      <c r="C79" s="40" t="str">
        <f t="shared" si="4"/>
        <v>Income: 1</v>
      </c>
      <c r="D79" s="77" t="s">
        <v>230</v>
      </c>
      <c r="E79" s="45" t="s">
        <v>49</v>
      </c>
      <c r="F79" s="41">
        <v>4950</v>
      </c>
      <c r="G79" s="41">
        <v>0</v>
      </c>
      <c r="H79" s="41">
        <f t="shared" si="5"/>
        <v>0</v>
      </c>
      <c r="I79">
        <v>2935</v>
      </c>
    </row>
    <row r="80" spans="1:9" ht="12.75" customHeight="1" x14ac:dyDescent="0.2">
      <c r="C80" s="51" t="str">
        <f t="shared" ref="C80:C141" si="6">IFERROR("Rent: "&amp;FIND("Rent",E80),IFERROR("Priv Tax: "&amp;FIND("Tax",E80), IFERROR("Income: "&amp;FIND("Payment",E80,1),"")))</f>
        <v/>
      </c>
    </row>
    <row r="81" spans="3:11" ht="12.75" customHeight="1" x14ac:dyDescent="0.2">
      <c r="C81" s="51" t="str">
        <f t="shared" si="6"/>
        <v/>
      </c>
    </row>
    <row r="82" spans="3:11" ht="12.75" customHeight="1" x14ac:dyDescent="0.2">
      <c r="C82" s="51" t="str">
        <f t="shared" si="6"/>
        <v/>
      </c>
      <c r="F82" s="31"/>
      <c r="G82" s="31"/>
      <c r="H82" s="31"/>
    </row>
    <row r="83" spans="3:11" ht="12.75" customHeight="1" x14ac:dyDescent="0.2">
      <c r="C83" s="51" t="str">
        <f t="shared" si="6"/>
        <v/>
      </c>
      <c r="F83" s="31"/>
      <c r="G83" s="31"/>
      <c r="H83" s="31"/>
      <c r="I83" s="29"/>
    </row>
    <row r="84" spans="3:11" ht="12.75" customHeight="1" x14ac:dyDescent="0.2">
      <c r="C84" s="51" t="str">
        <f t="shared" si="6"/>
        <v/>
      </c>
      <c r="F84" s="31"/>
      <c r="G84" s="31"/>
      <c r="H84" s="31"/>
    </row>
    <row r="85" spans="3:11" ht="12.75" customHeight="1" x14ac:dyDescent="0.2">
      <c r="C85" s="51" t="str">
        <f t="shared" si="6"/>
        <v/>
      </c>
      <c r="F85" s="31"/>
      <c r="G85" s="31"/>
      <c r="H85" s="31"/>
    </row>
    <row r="86" spans="3:11" ht="12.75" customHeight="1" x14ac:dyDescent="0.2">
      <c r="C86" s="51" t="str">
        <f t="shared" si="6"/>
        <v/>
      </c>
      <c r="F86" s="31"/>
      <c r="G86" s="31"/>
      <c r="H86" s="31"/>
      <c r="I86" s="29"/>
    </row>
    <row r="87" spans="3:11" ht="12.75" customHeight="1" x14ac:dyDescent="0.2">
      <c r="C87" s="51" t="str">
        <f t="shared" si="6"/>
        <v/>
      </c>
      <c r="F87" s="31"/>
      <c r="G87" s="31"/>
      <c r="H87" s="31"/>
    </row>
    <row r="88" spans="3:11" ht="12.75" customHeight="1" x14ac:dyDescent="0.2">
      <c r="C88" s="51" t="str">
        <f t="shared" si="6"/>
        <v/>
      </c>
      <c r="F88" s="31"/>
      <c r="G88" s="31"/>
      <c r="H88" s="31"/>
    </row>
    <row r="89" spans="3:11" ht="12.75" customHeight="1" x14ac:dyDescent="0.2">
      <c r="C89" s="51" t="str">
        <f t="shared" si="6"/>
        <v/>
      </c>
      <c r="F89" s="31"/>
      <c r="G89" s="31"/>
      <c r="H89" s="31"/>
      <c r="I89" s="51"/>
      <c r="J89" s="29"/>
    </row>
    <row r="90" spans="3:11" ht="12.75" customHeight="1" x14ac:dyDescent="0.2">
      <c r="C90" s="51" t="str">
        <f t="shared" si="6"/>
        <v/>
      </c>
      <c r="F90" s="31"/>
      <c r="G90" s="31"/>
      <c r="H90" s="31"/>
      <c r="I90" s="28"/>
      <c r="J90" s="14"/>
      <c r="K90" s="29"/>
    </row>
    <row r="91" spans="3:11" ht="12" customHeight="1" x14ac:dyDescent="0.2">
      <c r="C91" s="51" t="str">
        <f t="shared" si="6"/>
        <v/>
      </c>
      <c r="F91" s="31"/>
      <c r="G91" s="31"/>
      <c r="H91" s="31"/>
    </row>
    <row r="92" spans="3:11" ht="12.75" customHeight="1" x14ac:dyDescent="0.2">
      <c r="C92" s="51" t="str">
        <f t="shared" si="6"/>
        <v/>
      </c>
      <c r="F92" s="31"/>
      <c r="G92" s="31"/>
      <c r="H92" s="31"/>
    </row>
    <row r="93" spans="3:11" ht="12.75" customHeight="1" x14ac:dyDescent="0.2">
      <c r="C93" s="51" t="str">
        <f t="shared" si="6"/>
        <v/>
      </c>
      <c r="F93" s="31"/>
      <c r="G93" s="31"/>
      <c r="H93" s="31"/>
    </row>
    <row r="94" spans="3:11" ht="12" customHeight="1" x14ac:dyDescent="0.2">
      <c r="C94" s="51" t="str">
        <f t="shared" si="6"/>
        <v/>
      </c>
      <c r="F94" s="31"/>
      <c r="G94" s="31"/>
      <c r="H94" s="31"/>
    </row>
    <row r="95" spans="3:11" ht="12.75" customHeight="1" x14ac:dyDescent="0.2">
      <c r="C95" s="51" t="str">
        <f t="shared" si="6"/>
        <v/>
      </c>
      <c r="F95" s="31"/>
      <c r="G95" s="31"/>
      <c r="H95" s="31"/>
    </row>
    <row r="96" spans="3:11" ht="12.75" customHeight="1" x14ac:dyDescent="0.2">
      <c r="C96" s="51" t="str">
        <f t="shared" si="6"/>
        <v/>
      </c>
      <c r="F96" s="31"/>
      <c r="G96" s="31"/>
      <c r="H96" s="31"/>
    </row>
    <row r="97" spans="3:9" ht="12" customHeight="1" x14ac:dyDescent="0.2">
      <c r="C97" s="51" t="str">
        <f t="shared" si="6"/>
        <v/>
      </c>
      <c r="F97" s="31"/>
      <c r="G97" s="31"/>
      <c r="H97" s="31"/>
    </row>
    <row r="98" spans="3:9" ht="12.75" customHeight="1" x14ac:dyDescent="0.2">
      <c r="C98" s="51" t="str">
        <f t="shared" si="6"/>
        <v/>
      </c>
      <c r="F98" s="31"/>
      <c r="G98" s="31"/>
      <c r="H98" s="31"/>
    </row>
    <row r="99" spans="3:9" ht="12.75" customHeight="1" x14ac:dyDescent="0.2">
      <c r="C99" s="51" t="str">
        <f t="shared" si="6"/>
        <v/>
      </c>
      <c r="F99" s="31"/>
      <c r="G99" s="31"/>
      <c r="H99" s="31"/>
    </row>
    <row r="100" spans="3:9" ht="12" customHeight="1" x14ac:dyDescent="0.2">
      <c r="C100" s="51" t="str">
        <f t="shared" si="6"/>
        <v/>
      </c>
      <c r="F100" s="31"/>
      <c r="G100" s="31"/>
      <c r="H100" s="31"/>
    </row>
    <row r="101" spans="3:9" ht="12.75" customHeight="1" x14ac:dyDescent="0.2">
      <c r="C101" s="51" t="str">
        <f t="shared" si="6"/>
        <v/>
      </c>
      <c r="F101" s="31"/>
      <c r="G101" s="31"/>
      <c r="H101" s="31"/>
      <c r="I101" s="29"/>
    </row>
    <row r="102" spans="3:9" ht="12.75" customHeight="1" x14ac:dyDescent="0.2">
      <c r="C102" s="51" t="str">
        <f t="shared" si="6"/>
        <v/>
      </c>
      <c r="F102" s="31"/>
      <c r="G102" s="31"/>
      <c r="H102" s="31"/>
      <c r="I102" s="29"/>
    </row>
    <row r="103" spans="3:9" ht="12.75" customHeight="1" x14ac:dyDescent="0.2">
      <c r="C103" s="51" t="str">
        <f t="shared" si="6"/>
        <v/>
      </c>
      <c r="F103" s="31"/>
      <c r="G103" s="31"/>
      <c r="H103" s="31"/>
      <c r="I103" s="29"/>
    </row>
    <row r="104" spans="3:9" ht="12.75" customHeight="1" x14ac:dyDescent="0.2">
      <c r="C104" s="51" t="str">
        <f t="shared" si="6"/>
        <v/>
      </c>
      <c r="F104" s="31"/>
      <c r="G104" s="31"/>
      <c r="H104" s="31"/>
    </row>
    <row r="105" spans="3:9" ht="12.75" customHeight="1" x14ac:dyDescent="0.2">
      <c r="C105" s="51" t="str">
        <f t="shared" si="6"/>
        <v/>
      </c>
      <c r="F105" s="31"/>
      <c r="G105" s="31"/>
      <c r="H105" s="31"/>
      <c r="I105" s="29"/>
    </row>
    <row r="106" spans="3:9" ht="12.75" customHeight="1" x14ac:dyDescent="0.2">
      <c r="C106" s="51" t="str">
        <f t="shared" si="6"/>
        <v/>
      </c>
      <c r="F106" s="31"/>
      <c r="G106" s="31"/>
      <c r="H106" s="31"/>
      <c r="I106" s="29"/>
    </row>
    <row r="107" spans="3:9" ht="12.75" customHeight="1" x14ac:dyDescent="0.2">
      <c r="C107" s="51" t="str">
        <f t="shared" si="6"/>
        <v/>
      </c>
      <c r="F107" s="31"/>
      <c r="G107" s="31"/>
      <c r="H107" s="31"/>
    </row>
    <row r="108" spans="3:9" ht="12.75" customHeight="1" x14ac:dyDescent="0.2">
      <c r="C108" s="51" t="str">
        <f t="shared" si="6"/>
        <v/>
      </c>
      <c r="F108" s="31"/>
      <c r="G108" s="31"/>
      <c r="H108" s="31"/>
      <c r="I108" s="29"/>
    </row>
    <row r="109" spans="3:9" ht="12.75" customHeight="1" x14ac:dyDescent="0.2">
      <c r="C109" s="51" t="str">
        <f t="shared" si="6"/>
        <v/>
      </c>
      <c r="F109" s="31"/>
      <c r="G109" s="31"/>
      <c r="H109" s="31"/>
      <c r="I109" s="29"/>
    </row>
    <row r="110" spans="3:9" ht="12.75" customHeight="1" x14ac:dyDescent="0.2">
      <c r="C110" s="51" t="str">
        <f t="shared" si="6"/>
        <v/>
      </c>
      <c r="F110" s="31"/>
      <c r="G110" s="31"/>
      <c r="H110" s="31"/>
      <c r="I110" s="29"/>
    </row>
    <row r="111" spans="3:9" ht="12.75" customHeight="1" x14ac:dyDescent="0.2">
      <c r="C111" s="51" t="str">
        <f t="shared" si="6"/>
        <v/>
      </c>
      <c r="F111" s="31"/>
      <c r="G111" s="31"/>
      <c r="H111" s="31"/>
      <c r="I111" s="29"/>
    </row>
    <row r="112" spans="3:9" ht="12.75" customHeight="1" x14ac:dyDescent="0.2">
      <c r="C112" s="51" t="str">
        <f t="shared" si="6"/>
        <v/>
      </c>
      <c r="F112" s="31"/>
      <c r="G112" s="31"/>
      <c r="H112" s="31"/>
      <c r="I112" s="29"/>
    </row>
    <row r="113" spans="3:9" ht="12.75" customHeight="1" x14ac:dyDescent="0.2">
      <c r="C113" s="51" t="str">
        <f t="shared" si="6"/>
        <v/>
      </c>
      <c r="F113" s="31"/>
      <c r="G113" s="31"/>
      <c r="H113" s="31"/>
    </row>
    <row r="114" spans="3:9" ht="12.75" customHeight="1" x14ac:dyDescent="0.2">
      <c r="C114" s="51" t="str">
        <f t="shared" si="6"/>
        <v/>
      </c>
      <c r="F114" s="31"/>
      <c r="G114" s="31"/>
      <c r="H114" s="31"/>
      <c r="I114" s="29"/>
    </row>
    <row r="115" spans="3:9" ht="12.75" customHeight="1" x14ac:dyDescent="0.2">
      <c r="C115" s="51" t="str">
        <f t="shared" si="6"/>
        <v/>
      </c>
      <c r="F115" s="31"/>
      <c r="G115" s="31"/>
      <c r="H115" s="31"/>
      <c r="I115" s="29"/>
    </row>
    <row r="116" spans="3:9" ht="12.75" customHeight="1" x14ac:dyDescent="0.2">
      <c r="C116" s="51" t="str">
        <f t="shared" si="6"/>
        <v/>
      </c>
      <c r="F116" s="31"/>
      <c r="G116" s="31"/>
      <c r="H116" s="31"/>
      <c r="I116" s="29"/>
    </row>
    <row r="117" spans="3:9" ht="12.75" customHeight="1" x14ac:dyDescent="0.2">
      <c r="C117" s="51" t="str">
        <f t="shared" si="6"/>
        <v/>
      </c>
      <c r="F117" s="31"/>
      <c r="G117" s="31"/>
      <c r="H117" s="31"/>
    </row>
    <row r="118" spans="3:9" ht="12.75" customHeight="1" x14ac:dyDescent="0.2">
      <c r="C118" s="51" t="str">
        <f t="shared" si="6"/>
        <v/>
      </c>
      <c r="F118" s="31"/>
      <c r="G118" s="31"/>
      <c r="H118" s="31"/>
      <c r="I118" s="29"/>
    </row>
    <row r="119" spans="3:9" ht="12.75" customHeight="1" x14ac:dyDescent="0.2">
      <c r="C119" s="51" t="str">
        <f t="shared" si="6"/>
        <v/>
      </c>
      <c r="F119" s="31"/>
      <c r="G119" s="31"/>
      <c r="H119" s="31"/>
      <c r="I119" s="29"/>
    </row>
    <row r="120" spans="3:9" ht="12.75" customHeight="1" x14ac:dyDescent="0.2">
      <c r="C120" s="51" t="str">
        <f t="shared" si="6"/>
        <v/>
      </c>
      <c r="F120" s="31"/>
      <c r="G120" s="31"/>
      <c r="H120" s="31"/>
      <c r="I120" s="29"/>
    </row>
    <row r="121" spans="3:9" ht="12.75" customHeight="1" x14ac:dyDescent="0.2">
      <c r="C121" s="51" t="str">
        <f t="shared" si="6"/>
        <v/>
      </c>
      <c r="F121" s="31"/>
      <c r="G121" s="31"/>
      <c r="H121" s="31"/>
    </row>
    <row r="122" spans="3:9" ht="12.75" customHeight="1" x14ac:dyDescent="0.2">
      <c r="C122" s="51" t="str">
        <f t="shared" si="6"/>
        <v/>
      </c>
      <c r="F122" s="31"/>
      <c r="G122" s="31"/>
      <c r="H122" s="31"/>
      <c r="I122" s="29"/>
    </row>
    <row r="123" spans="3:9" ht="12.75" customHeight="1" x14ac:dyDescent="0.2">
      <c r="C123" s="51" t="str">
        <f t="shared" si="6"/>
        <v/>
      </c>
      <c r="F123" s="31"/>
      <c r="G123" s="31"/>
      <c r="H123" s="31"/>
      <c r="I123" s="29"/>
    </row>
    <row r="124" spans="3:9" ht="12.75" customHeight="1" x14ac:dyDescent="0.2">
      <c r="C124" s="51" t="str">
        <f t="shared" si="6"/>
        <v/>
      </c>
      <c r="F124" s="31"/>
      <c r="G124" s="31"/>
      <c r="H124" s="31"/>
    </row>
    <row r="125" spans="3:9" ht="12.75" customHeight="1" x14ac:dyDescent="0.2">
      <c r="C125" s="51" t="str">
        <f t="shared" si="6"/>
        <v/>
      </c>
      <c r="F125" s="31"/>
      <c r="G125" s="31"/>
      <c r="H125" s="31"/>
    </row>
    <row r="126" spans="3:9" ht="12.75" customHeight="1" x14ac:dyDescent="0.2">
      <c r="C126" s="51" t="str">
        <f t="shared" si="6"/>
        <v/>
      </c>
      <c r="F126" s="31"/>
      <c r="G126" s="31"/>
      <c r="H126" s="31"/>
      <c r="I126" s="29"/>
    </row>
    <row r="127" spans="3:9" ht="12.75" customHeight="1" x14ac:dyDescent="0.2">
      <c r="C127" s="51" t="str">
        <f t="shared" si="6"/>
        <v/>
      </c>
      <c r="F127" s="31"/>
      <c r="G127" s="31"/>
      <c r="H127" s="31"/>
      <c r="I127" s="29"/>
    </row>
    <row r="128" spans="3:9" ht="12.75" customHeight="1" x14ac:dyDescent="0.2">
      <c r="C128" s="51" t="str">
        <f t="shared" si="6"/>
        <v/>
      </c>
      <c r="F128" s="31"/>
      <c r="G128" s="31"/>
      <c r="H128" s="31"/>
      <c r="I128" s="29"/>
    </row>
    <row r="129" spans="3:12" ht="12.75" customHeight="1" x14ac:dyDescent="0.2">
      <c r="C129" s="51" t="str">
        <f t="shared" si="6"/>
        <v/>
      </c>
      <c r="F129" s="31"/>
      <c r="G129" s="31"/>
      <c r="H129" s="31"/>
    </row>
    <row r="130" spans="3:12" ht="12.75" customHeight="1" x14ac:dyDescent="0.2">
      <c r="C130" s="51" t="str">
        <f t="shared" si="6"/>
        <v/>
      </c>
      <c r="F130" s="31"/>
      <c r="G130" s="31"/>
      <c r="H130" s="31"/>
      <c r="I130" s="28"/>
    </row>
    <row r="131" spans="3:12" ht="12.75" customHeight="1" x14ac:dyDescent="0.2">
      <c r="C131" s="51" t="str">
        <f t="shared" si="6"/>
        <v/>
      </c>
      <c r="F131" s="31"/>
      <c r="G131" s="31"/>
      <c r="H131" s="31"/>
      <c r="I131" s="28"/>
    </row>
    <row r="132" spans="3:12" ht="12.75" customHeight="1" x14ac:dyDescent="0.2">
      <c r="C132" s="51" t="str">
        <f t="shared" si="6"/>
        <v/>
      </c>
      <c r="F132" s="31"/>
      <c r="G132" s="31"/>
      <c r="H132" s="31"/>
      <c r="I132" s="28"/>
    </row>
    <row r="133" spans="3:12" ht="12.75" customHeight="1" x14ac:dyDescent="0.2">
      <c r="C133" s="51" t="str">
        <f t="shared" si="6"/>
        <v/>
      </c>
      <c r="F133" s="31"/>
      <c r="G133" s="31"/>
      <c r="H133" s="31"/>
    </row>
    <row r="134" spans="3:12" ht="12.75" customHeight="1" x14ac:dyDescent="0.2">
      <c r="C134" s="51" t="str">
        <f t="shared" si="6"/>
        <v/>
      </c>
      <c r="F134" s="31"/>
      <c r="G134" s="31"/>
      <c r="H134" s="31"/>
      <c r="I134" s="28"/>
    </row>
    <row r="135" spans="3:12" ht="12.75" customHeight="1" x14ac:dyDescent="0.2">
      <c r="C135" s="51" t="str">
        <f t="shared" si="6"/>
        <v/>
      </c>
      <c r="F135" s="31"/>
      <c r="G135" s="31"/>
      <c r="H135" s="31"/>
      <c r="I135" s="28"/>
    </row>
    <row r="136" spans="3:12" ht="12.75" customHeight="1" x14ac:dyDescent="0.2">
      <c r="C136" s="51" t="str">
        <f t="shared" si="6"/>
        <v/>
      </c>
      <c r="F136" s="31"/>
      <c r="G136" s="31"/>
      <c r="H136" s="31"/>
      <c r="I136" s="28"/>
    </row>
    <row r="137" spans="3:12" ht="12.75" customHeight="1" x14ac:dyDescent="0.2">
      <c r="C137" s="51" t="str">
        <f t="shared" si="6"/>
        <v/>
      </c>
      <c r="F137" s="31"/>
      <c r="G137" s="31"/>
      <c r="H137" s="31"/>
      <c r="I137" s="28"/>
      <c r="J137" s="28"/>
      <c r="K137" s="28"/>
      <c r="L137" s="28"/>
    </row>
    <row r="138" spans="3:12" ht="12.75" customHeight="1" x14ac:dyDescent="0.2">
      <c r="C138" s="51" t="str">
        <f t="shared" si="6"/>
        <v/>
      </c>
      <c r="F138" s="31"/>
      <c r="G138" s="31"/>
      <c r="H138" s="31"/>
      <c r="I138" s="29"/>
    </row>
    <row r="139" spans="3:12" ht="12.75" customHeight="1" x14ac:dyDescent="0.2">
      <c r="C139" s="51" t="str">
        <f t="shared" si="6"/>
        <v/>
      </c>
      <c r="F139" s="31"/>
      <c r="G139" s="31"/>
      <c r="H139" s="31"/>
      <c r="I139" s="28"/>
    </row>
    <row r="140" spans="3:12" ht="12.75" customHeight="1" x14ac:dyDescent="0.2">
      <c r="C140" s="51" t="str">
        <f t="shared" si="6"/>
        <v/>
      </c>
      <c r="F140" s="31"/>
      <c r="G140" s="31"/>
      <c r="H140" s="31"/>
    </row>
    <row r="141" spans="3:12" ht="12.75" customHeight="1" x14ac:dyDescent="0.2">
      <c r="C141" s="51" t="str">
        <f t="shared" si="6"/>
        <v/>
      </c>
      <c r="F141" s="31"/>
      <c r="G141" s="31"/>
      <c r="H141" s="31"/>
    </row>
    <row r="142" spans="3:12" ht="12.75" customHeight="1" x14ac:dyDescent="0.2">
      <c r="C142" s="51" t="str">
        <f t="shared" ref="C142:C205" si="7">IFERROR("Rent: "&amp;FIND("Rent",E142),IFERROR("Priv Tax: "&amp;FIND("Tax",E142), IFERROR("Income: "&amp;FIND("Payment",E142,1),"")))</f>
        <v/>
      </c>
      <c r="F142" s="31"/>
      <c r="G142" s="31"/>
      <c r="H142" s="31"/>
    </row>
    <row r="143" spans="3:12" ht="12.75" customHeight="1" x14ac:dyDescent="0.2">
      <c r="C143" s="51" t="str">
        <f t="shared" si="7"/>
        <v/>
      </c>
      <c r="F143" s="31"/>
      <c r="G143" s="31"/>
      <c r="H143" s="31"/>
      <c r="I143" s="28"/>
    </row>
    <row r="144" spans="3:12" ht="12.75" customHeight="1" x14ac:dyDescent="0.2">
      <c r="C144" s="51" t="str">
        <f t="shared" si="7"/>
        <v/>
      </c>
      <c r="F144" s="31"/>
      <c r="G144" s="31"/>
      <c r="H144" s="31"/>
      <c r="I144" s="28"/>
    </row>
    <row r="145" spans="3:9" ht="12.75" customHeight="1" x14ac:dyDescent="0.2">
      <c r="C145" s="51" t="str">
        <f t="shared" si="7"/>
        <v/>
      </c>
      <c r="F145" s="31"/>
      <c r="G145" s="31"/>
      <c r="H145" s="31"/>
      <c r="I145" s="28"/>
    </row>
    <row r="146" spans="3:9" ht="12.75" customHeight="1" x14ac:dyDescent="0.2">
      <c r="C146" s="51" t="str">
        <f t="shared" si="7"/>
        <v/>
      </c>
      <c r="F146" s="31"/>
      <c r="G146" s="31"/>
      <c r="H146" s="31"/>
    </row>
    <row r="147" spans="3:9" ht="12.75" customHeight="1" x14ac:dyDescent="0.2">
      <c r="C147" s="51" t="str">
        <f t="shared" si="7"/>
        <v/>
      </c>
      <c r="F147" s="31"/>
      <c r="G147" s="31"/>
      <c r="H147" s="31"/>
      <c r="I147" s="28"/>
    </row>
    <row r="148" spans="3:9" ht="12.75" customHeight="1" x14ac:dyDescent="0.2">
      <c r="C148" s="51" t="str">
        <f t="shared" si="7"/>
        <v/>
      </c>
      <c r="F148" s="31"/>
      <c r="G148" s="31"/>
      <c r="H148" s="31"/>
    </row>
    <row r="149" spans="3:9" ht="12.75" customHeight="1" x14ac:dyDescent="0.2">
      <c r="C149" s="51" t="str">
        <f t="shared" si="7"/>
        <v/>
      </c>
      <c r="F149" s="31"/>
      <c r="G149" s="31"/>
      <c r="H149" s="31"/>
      <c r="I149" s="28"/>
    </row>
    <row r="150" spans="3:9" ht="12.75" customHeight="1" x14ac:dyDescent="0.2">
      <c r="C150" s="51" t="str">
        <f t="shared" si="7"/>
        <v/>
      </c>
      <c r="F150" s="31"/>
      <c r="G150" s="31"/>
      <c r="H150" s="31"/>
    </row>
    <row r="151" spans="3:9" ht="12.75" customHeight="1" x14ac:dyDescent="0.2">
      <c r="C151" s="51" t="str">
        <f t="shared" si="7"/>
        <v/>
      </c>
      <c r="F151" s="31"/>
      <c r="G151" s="31"/>
      <c r="H151" s="31"/>
      <c r="I151" s="28"/>
    </row>
    <row r="152" spans="3:9" ht="12.75" customHeight="1" x14ac:dyDescent="0.2">
      <c r="C152" s="51" t="str">
        <f t="shared" si="7"/>
        <v/>
      </c>
      <c r="F152" s="31"/>
      <c r="G152" s="31"/>
      <c r="H152" s="31"/>
      <c r="I152" s="28"/>
    </row>
    <row r="153" spans="3:9" ht="12.75" customHeight="1" x14ac:dyDescent="0.2">
      <c r="C153" s="51" t="str">
        <f t="shared" si="7"/>
        <v/>
      </c>
      <c r="F153" s="31"/>
      <c r="G153" s="31"/>
      <c r="H153" s="31"/>
    </row>
    <row r="154" spans="3:9" ht="12.75" customHeight="1" x14ac:dyDescent="0.2">
      <c r="C154" s="51" t="str">
        <f t="shared" si="7"/>
        <v/>
      </c>
      <c r="F154" s="31"/>
      <c r="G154" s="31"/>
      <c r="H154" s="31"/>
      <c r="I154" s="28"/>
    </row>
    <row r="155" spans="3:9" ht="12.75" customHeight="1" x14ac:dyDescent="0.2">
      <c r="C155" s="51" t="str">
        <f t="shared" si="7"/>
        <v/>
      </c>
      <c r="F155" s="31"/>
      <c r="G155" s="31"/>
      <c r="H155" s="31"/>
    </row>
    <row r="156" spans="3:9" ht="12.75" customHeight="1" x14ac:dyDescent="0.2">
      <c r="C156" s="51" t="str">
        <f t="shared" si="7"/>
        <v/>
      </c>
      <c r="F156" s="31"/>
      <c r="G156" s="31"/>
      <c r="H156" s="31"/>
      <c r="I156" s="28"/>
    </row>
    <row r="157" spans="3:9" ht="12.75" customHeight="1" x14ac:dyDescent="0.2">
      <c r="C157" s="51" t="str">
        <f t="shared" si="7"/>
        <v/>
      </c>
      <c r="F157" s="31"/>
      <c r="G157" s="31"/>
      <c r="H157" s="31"/>
    </row>
    <row r="158" spans="3:9" ht="12.75" customHeight="1" x14ac:dyDescent="0.2">
      <c r="C158" s="51" t="str">
        <f t="shared" si="7"/>
        <v/>
      </c>
      <c r="F158" s="31"/>
      <c r="G158" s="31"/>
      <c r="H158" s="31"/>
      <c r="I158" s="28"/>
    </row>
    <row r="159" spans="3:9" ht="12.75" customHeight="1" x14ac:dyDescent="0.2">
      <c r="C159" s="51" t="str">
        <f t="shared" si="7"/>
        <v/>
      </c>
      <c r="F159" s="31"/>
      <c r="G159" s="31"/>
      <c r="H159" s="31"/>
    </row>
    <row r="160" spans="3:9" ht="12.75" customHeight="1" x14ac:dyDescent="0.2">
      <c r="C160" s="51" t="str">
        <f t="shared" si="7"/>
        <v/>
      </c>
      <c r="F160" s="31"/>
      <c r="G160" s="31"/>
      <c r="H160" s="31"/>
      <c r="I160" s="28"/>
    </row>
    <row r="161" spans="3:9" ht="12.75" customHeight="1" x14ac:dyDescent="0.2">
      <c r="C161" s="51" t="str">
        <f t="shared" si="7"/>
        <v/>
      </c>
      <c r="F161" s="31"/>
      <c r="G161" s="31"/>
      <c r="H161" s="31"/>
    </row>
    <row r="162" spans="3:9" ht="12.75" customHeight="1" x14ac:dyDescent="0.2">
      <c r="C162" s="51" t="str">
        <f t="shared" si="7"/>
        <v/>
      </c>
      <c r="F162" s="31"/>
      <c r="G162" s="31"/>
      <c r="H162" s="31"/>
    </row>
    <row r="163" spans="3:9" ht="12.75" customHeight="1" x14ac:dyDescent="0.2">
      <c r="C163" s="51" t="str">
        <f t="shared" si="7"/>
        <v/>
      </c>
      <c r="F163" s="31"/>
      <c r="G163" s="31"/>
      <c r="H163" s="31"/>
      <c r="I163" s="28"/>
    </row>
    <row r="164" spans="3:9" ht="12.75" customHeight="1" x14ac:dyDescent="0.2">
      <c r="C164" s="51" t="str">
        <f t="shared" si="7"/>
        <v/>
      </c>
      <c r="F164" s="31"/>
      <c r="G164" s="31"/>
      <c r="H164" s="31"/>
    </row>
    <row r="165" spans="3:9" ht="12.75" customHeight="1" x14ac:dyDescent="0.2">
      <c r="C165" s="51" t="str">
        <f t="shared" si="7"/>
        <v/>
      </c>
      <c r="F165" s="31"/>
      <c r="G165" s="31"/>
      <c r="H165" s="31"/>
      <c r="I165" s="28"/>
    </row>
    <row r="166" spans="3:9" ht="12.75" customHeight="1" x14ac:dyDescent="0.2">
      <c r="C166" s="51" t="str">
        <f t="shared" si="7"/>
        <v/>
      </c>
      <c r="F166" s="31"/>
      <c r="G166" s="31"/>
      <c r="H166" s="31"/>
    </row>
    <row r="167" spans="3:9" ht="12.75" customHeight="1" x14ac:dyDescent="0.2">
      <c r="C167" s="51" t="str">
        <f t="shared" si="7"/>
        <v/>
      </c>
      <c r="F167" s="31"/>
      <c r="G167" s="31"/>
      <c r="H167" s="31"/>
      <c r="I167" s="28"/>
    </row>
    <row r="168" spans="3:9" ht="12.75" customHeight="1" x14ac:dyDescent="0.2">
      <c r="C168" s="51" t="str">
        <f t="shared" si="7"/>
        <v/>
      </c>
      <c r="F168" s="31"/>
      <c r="G168" s="31"/>
      <c r="H168" s="31"/>
    </row>
    <row r="169" spans="3:9" ht="12.75" customHeight="1" x14ac:dyDescent="0.2">
      <c r="C169" s="51" t="str">
        <f t="shared" si="7"/>
        <v/>
      </c>
      <c r="F169" s="31"/>
      <c r="G169" s="31"/>
      <c r="H169" s="31"/>
      <c r="I169" s="28"/>
    </row>
    <row r="170" spans="3:9" ht="12.75" customHeight="1" x14ac:dyDescent="0.2">
      <c r="C170" s="51" t="str">
        <f t="shared" si="7"/>
        <v/>
      </c>
      <c r="F170" s="31"/>
      <c r="G170" s="31"/>
      <c r="H170" s="31"/>
    </row>
    <row r="171" spans="3:9" ht="12.75" customHeight="1" x14ac:dyDescent="0.2">
      <c r="C171" s="51" t="str">
        <f t="shared" si="7"/>
        <v/>
      </c>
      <c r="F171" s="31"/>
      <c r="G171" s="31"/>
      <c r="H171" s="31"/>
      <c r="I171" s="28"/>
    </row>
    <row r="172" spans="3:9" ht="12.75" customHeight="1" x14ac:dyDescent="0.2">
      <c r="C172" s="51" t="str">
        <f t="shared" si="7"/>
        <v/>
      </c>
      <c r="F172" s="31"/>
      <c r="G172" s="31"/>
      <c r="H172" s="31"/>
    </row>
    <row r="173" spans="3:9" ht="12.75" customHeight="1" x14ac:dyDescent="0.2">
      <c r="C173" s="51" t="str">
        <f t="shared" si="7"/>
        <v/>
      </c>
      <c r="F173" s="31"/>
      <c r="G173" s="31"/>
      <c r="H173" s="31"/>
      <c r="I173" s="28"/>
    </row>
    <row r="174" spans="3:9" ht="12.75" customHeight="1" x14ac:dyDescent="0.2">
      <c r="C174" s="51" t="str">
        <f t="shared" si="7"/>
        <v/>
      </c>
      <c r="F174" s="31"/>
      <c r="G174" s="31"/>
      <c r="H174" s="31"/>
    </row>
    <row r="175" spans="3:9" ht="12.75" customHeight="1" x14ac:dyDescent="0.2">
      <c r="C175" s="51" t="str">
        <f t="shared" si="7"/>
        <v/>
      </c>
      <c r="F175" s="31"/>
      <c r="G175" s="31"/>
      <c r="H175" s="31"/>
      <c r="I175" s="28"/>
    </row>
    <row r="176" spans="3:9" ht="12.75" customHeight="1" x14ac:dyDescent="0.2">
      <c r="C176" s="51" t="str">
        <f t="shared" si="7"/>
        <v/>
      </c>
      <c r="F176" s="31"/>
      <c r="G176" s="31"/>
      <c r="H176" s="31"/>
    </row>
    <row r="177" spans="3:9" ht="12.75" customHeight="1" x14ac:dyDescent="0.2">
      <c r="C177" s="51" t="str">
        <f t="shared" si="7"/>
        <v/>
      </c>
      <c r="F177" s="31"/>
      <c r="G177" s="31"/>
      <c r="H177" s="31"/>
      <c r="I177" s="28"/>
    </row>
    <row r="178" spans="3:9" ht="12.75" customHeight="1" x14ac:dyDescent="0.2">
      <c r="C178" s="51" t="str">
        <f t="shared" si="7"/>
        <v/>
      </c>
      <c r="F178" s="31"/>
      <c r="G178" s="31"/>
      <c r="H178" s="31"/>
    </row>
    <row r="179" spans="3:9" ht="12.75" customHeight="1" x14ac:dyDescent="0.2">
      <c r="C179" s="51" t="str">
        <f t="shared" si="7"/>
        <v/>
      </c>
      <c r="F179" s="31"/>
      <c r="G179" s="31"/>
      <c r="H179" s="31"/>
      <c r="I179" s="28"/>
    </row>
    <row r="180" spans="3:9" ht="12.75" customHeight="1" x14ac:dyDescent="0.2">
      <c r="C180" s="51" t="str">
        <f t="shared" si="7"/>
        <v/>
      </c>
      <c r="F180" s="31"/>
      <c r="G180" s="31"/>
      <c r="H180" s="31"/>
    </row>
    <row r="181" spans="3:9" ht="12.75" customHeight="1" x14ac:dyDescent="0.2">
      <c r="C181" s="51" t="str">
        <f t="shared" si="7"/>
        <v/>
      </c>
      <c r="F181" s="31"/>
      <c r="G181" s="31"/>
      <c r="H181" s="31"/>
      <c r="I181" s="28"/>
    </row>
    <row r="182" spans="3:9" ht="12.75" customHeight="1" x14ac:dyDescent="0.2">
      <c r="C182" s="51" t="str">
        <f t="shared" si="7"/>
        <v/>
      </c>
      <c r="F182" s="31"/>
      <c r="G182" s="31"/>
      <c r="H182" s="31"/>
    </row>
    <row r="183" spans="3:9" ht="12.75" customHeight="1" x14ac:dyDescent="0.2">
      <c r="C183" s="51" t="str">
        <f t="shared" si="7"/>
        <v/>
      </c>
      <c r="F183" s="31"/>
      <c r="G183" s="31"/>
      <c r="H183" s="31"/>
      <c r="I183" s="28"/>
    </row>
    <row r="184" spans="3:9" ht="12.75" customHeight="1" x14ac:dyDescent="0.2">
      <c r="C184" s="51" t="str">
        <f t="shared" si="7"/>
        <v/>
      </c>
      <c r="F184" s="31"/>
      <c r="G184" s="31"/>
      <c r="H184" s="31"/>
    </row>
    <row r="185" spans="3:9" ht="12.75" customHeight="1" x14ac:dyDescent="0.2">
      <c r="C185" s="51" t="str">
        <f t="shared" si="7"/>
        <v/>
      </c>
      <c r="F185" s="31"/>
      <c r="G185" s="31"/>
      <c r="H185" s="31"/>
      <c r="I185" s="28"/>
    </row>
    <row r="186" spans="3:9" ht="12.75" customHeight="1" x14ac:dyDescent="0.2">
      <c r="C186" s="51" t="str">
        <f t="shared" si="7"/>
        <v/>
      </c>
      <c r="F186" s="31"/>
      <c r="G186" s="31"/>
      <c r="H186" s="31"/>
    </row>
    <row r="187" spans="3:9" ht="12.75" customHeight="1" x14ac:dyDescent="0.2">
      <c r="C187" s="51" t="str">
        <f t="shared" si="7"/>
        <v/>
      </c>
      <c r="F187" s="31"/>
      <c r="G187" s="31"/>
      <c r="H187" s="31"/>
      <c r="I187" s="28"/>
    </row>
    <row r="188" spans="3:9" ht="12.75" customHeight="1" x14ac:dyDescent="0.2">
      <c r="C188" s="51" t="str">
        <f t="shared" si="7"/>
        <v/>
      </c>
      <c r="F188" s="31"/>
      <c r="G188" s="31"/>
      <c r="H188" s="31"/>
    </row>
    <row r="189" spans="3:9" ht="12.75" customHeight="1" x14ac:dyDescent="0.2">
      <c r="C189" s="51" t="str">
        <f t="shared" si="7"/>
        <v/>
      </c>
      <c r="F189" s="31"/>
      <c r="G189" s="31"/>
      <c r="H189" s="31"/>
      <c r="I189" s="28"/>
    </row>
    <row r="190" spans="3:9" ht="12.75" customHeight="1" x14ac:dyDescent="0.2">
      <c r="C190" s="51" t="str">
        <f t="shared" si="7"/>
        <v/>
      </c>
      <c r="F190" s="31"/>
      <c r="G190" s="31"/>
      <c r="H190" s="31"/>
    </row>
    <row r="191" spans="3:9" ht="12.75" customHeight="1" x14ac:dyDescent="0.2">
      <c r="C191" s="51" t="str">
        <f t="shared" si="7"/>
        <v/>
      </c>
      <c r="F191" s="31"/>
      <c r="G191" s="31"/>
      <c r="H191" s="31"/>
      <c r="I191" s="28"/>
    </row>
    <row r="192" spans="3:9" ht="12.75" customHeight="1" x14ac:dyDescent="0.2">
      <c r="C192" s="51" t="str">
        <f t="shared" si="7"/>
        <v/>
      </c>
      <c r="F192" s="31"/>
      <c r="G192" s="31"/>
      <c r="H192" s="31"/>
    </row>
    <row r="193" spans="3:9" ht="12.75" customHeight="1" x14ac:dyDescent="0.2">
      <c r="C193" s="51" t="str">
        <f t="shared" si="7"/>
        <v/>
      </c>
      <c r="F193" s="31"/>
      <c r="G193" s="31"/>
      <c r="H193" s="31"/>
      <c r="I193" s="28"/>
    </row>
    <row r="194" spans="3:9" ht="12.75" customHeight="1" x14ac:dyDescent="0.2">
      <c r="C194" s="51" t="str">
        <f t="shared" si="7"/>
        <v/>
      </c>
      <c r="F194" s="31"/>
      <c r="G194" s="31"/>
      <c r="H194" s="31"/>
    </row>
    <row r="195" spans="3:9" ht="12.75" customHeight="1" x14ac:dyDescent="0.2">
      <c r="C195" s="51" t="str">
        <f t="shared" si="7"/>
        <v/>
      </c>
      <c r="F195" s="31"/>
      <c r="G195" s="31"/>
      <c r="H195" s="31"/>
      <c r="I195" s="28"/>
    </row>
    <row r="196" spans="3:9" ht="12.75" customHeight="1" x14ac:dyDescent="0.2">
      <c r="C196" s="51" t="str">
        <f t="shared" si="7"/>
        <v/>
      </c>
      <c r="F196" s="31"/>
      <c r="G196" s="31"/>
      <c r="H196" s="31"/>
    </row>
    <row r="197" spans="3:9" ht="12.75" customHeight="1" x14ac:dyDescent="0.2">
      <c r="C197" s="51" t="str">
        <f t="shared" si="7"/>
        <v/>
      </c>
      <c r="F197" s="31"/>
      <c r="G197" s="31"/>
      <c r="H197" s="31"/>
      <c r="I197" s="28"/>
    </row>
    <row r="198" spans="3:9" ht="12.75" customHeight="1" x14ac:dyDescent="0.2">
      <c r="C198" s="51" t="str">
        <f t="shared" si="7"/>
        <v/>
      </c>
      <c r="F198" s="31"/>
      <c r="G198" s="31"/>
      <c r="H198" s="31"/>
    </row>
    <row r="199" spans="3:9" ht="12.75" customHeight="1" x14ac:dyDescent="0.2">
      <c r="C199" s="51" t="str">
        <f t="shared" si="7"/>
        <v/>
      </c>
      <c r="F199" s="31"/>
      <c r="G199" s="31"/>
      <c r="H199" s="31"/>
      <c r="I199" s="28"/>
    </row>
    <row r="200" spans="3:9" ht="12.75" customHeight="1" x14ac:dyDescent="0.2">
      <c r="C200" s="51" t="str">
        <f t="shared" si="7"/>
        <v/>
      </c>
      <c r="F200" s="31"/>
      <c r="G200" s="31"/>
      <c r="H200" s="31"/>
    </row>
    <row r="201" spans="3:9" ht="12.75" customHeight="1" x14ac:dyDescent="0.2">
      <c r="C201" s="51" t="str">
        <f t="shared" si="7"/>
        <v/>
      </c>
      <c r="F201" s="31"/>
      <c r="G201" s="31"/>
      <c r="H201" s="31"/>
      <c r="I201" s="28"/>
    </row>
    <row r="202" spans="3:9" ht="12.75" customHeight="1" x14ac:dyDescent="0.2">
      <c r="C202" s="51" t="str">
        <f t="shared" si="7"/>
        <v/>
      </c>
      <c r="F202" s="31"/>
      <c r="G202" s="31"/>
      <c r="H202" s="31"/>
    </row>
    <row r="203" spans="3:9" ht="12.75" customHeight="1" x14ac:dyDescent="0.2">
      <c r="C203" s="51" t="str">
        <f t="shared" si="7"/>
        <v/>
      </c>
      <c r="F203" s="31"/>
      <c r="G203" s="31"/>
      <c r="H203" s="31"/>
      <c r="I203" s="28"/>
    </row>
    <row r="204" spans="3:9" ht="12.75" customHeight="1" x14ac:dyDescent="0.2">
      <c r="C204" s="51" t="str">
        <f t="shared" si="7"/>
        <v/>
      </c>
      <c r="F204" s="31"/>
      <c r="G204" s="31"/>
      <c r="H204" s="31"/>
    </row>
    <row r="205" spans="3:9" ht="12.75" customHeight="1" x14ac:dyDescent="0.2">
      <c r="C205" s="51" t="str">
        <f t="shared" si="7"/>
        <v/>
      </c>
      <c r="F205" s="31"/>
      <c r="G205" s="31"/>
      <c r="H205" s="31"/>
      <c r="I205" s="28"/>
    </row>
    <row r="206" spans="3:9" ht="12.75" customHeight="1" x14ac:dyDescent="0.2">
      <c r="C206" s="51" t="str">
        <f t="shared" ref="C206:C269" si="8">IFERROR("Rent: "&amp;FIND("Rent",E206),IFERROR("Priv Tax: "&amp;FIND("Tax",E206), IFERROR("Income: "&amp;FIND("Payment",E206,1),"")))</f>
        <v/>
      </c>
      <c r="F206" s="31"/>
      <c r="G206" s="31"/>
      <c r="H206" s="31"/>
    </row>
    <row r="207" spans="3:9" ht="12.75" customHeight="1" x14ac:dyDescent="0.2">
      <c r="C207" s="51" t="str">
        <f t="shared" si="8"/>
        <v/>
      </c>
      <c r="F207" s="31"/>
      <c r="G207" s="31"/>
      <c r="H207" s="31"/>
      <c r="I207" s="28"/>
    </row>
    <row r="208" spans="3:9" ht="12.75" customHeight="1" x14ac:dyDescent="0.2">
      <c r="C208" s="51" t="str">
        <f t="shared" si="8"/>
        <v/>
      </c>
      <c r="F208" s="31"/>
      <c r="G208" s="31"/>
      <c r="H208" s="31"/>
    </row>
    <row r="209" spans="3:9" ht="12.75" customHeight="1" x14ac:dyDescent="0.2">
      <c r="C209" s="51" t="str">
        <f t="shared" si="8"/>
        <v/>
      </c>
      <c r="F209" s="31"/>
      <c r="G209" s="31"/>
      <c r="H209" s="31"/>
      <c r="I209" s="28"/>
    </row>
    <row r="210" spans="3:9" ht="12.75" customHeight="1" x14ac:dyDescent="0.2">
      <c r="C210" s="51" t="str">
        <f t="shared" si="8"/>
        <v/>
      </c>
      <c r="F210" s="31"/>
      <c r="G210" s="31"/>
      <c r="H210" s="31"/>
    </row>
    <row r="211" spans="3:9" ht="12.75" customHeight="1" x14ac:dyDescent="0.2">
      <c r="C211" s="51" t="str">
        <f t="shared" si="8"/>
        <v/>
      </c>
      <c r="F211" s="31"/>
      <c r="G211" s="31"/>
      <c r="H211" s="31"/>
      <c r="I211" s="28"/>
    </row>
    <row r="212" spans="3:9" ht="12.75" customHeight="1" x14ac:dyDescent="0.2">
      <c r="C212" s="51" t="str">
        <f t="shared" si="8"/>
        <v/>
      </c>
      <c r="F212" s="31"/>
      <c r="G212" s="31"/>
      <c r="H212" s="31"/>
    </row>
    <row r="213" spans="3:9" ht="12.75" customHeight="1" x14ac:dyDescent="0.2">
      <c r="C213" s="51" t="str">
        <f t="shared" si="8"/>
        <v/>
      </c>
      <c r="F213" s="31"/>
      <c r="G213" s="31"/>
      <c r="H213" s="31"/>
      <c r="I213" s="28"/>
    </row>
    <row r="214" spans="3:9" ht="12.75" customHeight="1" x14ac:dyDescent="0.2">
      <c r="C214" s="51" t="str">
        <f t="shared" si="8"/>
        <v/>
      </c>
      <c r="F214" s="31"/>
      <c r="G214" s="31"/>
      <c r="H214" s="31"/>
    </row>
    <row r="215" spans="3:9" ht="12.75" customHeight="1" x14ac:dyDescent="0.2">
      <c r="C215" s="51" t="str">
        <f t="shared" si="8"/>
        <v/>
      </c>
      <c r="F215" s="31"/>
      <c r="G215" s="31"/>
      <c r="H215" s="31"/>
    </row>
    <row r="216" spans="3:9" ht="12.75" customHeight="1" x14ac:dyDescent="0.2">
      <c r="C216" s="51" t="str">
        <f t="shared" si="8"/>
        <v/>
      </c>
      <c r="F216" s="31"/>
      <c r="G216" s="31"/>
      <c r="H216" s="31"/>
    </row>
    <row r="217" spans="3:9" ht="12.75" customHeight="1" x14ac:dyDescent="0.2">
      <c r="C217" s="51" t="str">
        <f t="shared" si="8"/>
        <v/>
      </c>
      <c r="F217" s="31"/>
      <c r="G217" s="31"/>
      <c r="H217" s="31"/>
    </row>
    <row r="218" spans="3:9" ht="12.75" customHeight="1" x14ac:dyDescent="0.2">
      <c r="C218" s="51" t="str">
        <f t="shared" si="8"/>
        <v/>
      </c>
      <c r="F218" s="31"/>
      <c r="G218" s="31"/>
      <c r="H218" s="31"/>
    </row>
    <row r="219" spans="3:9" ht="12.75" customHeight="1" x14ac:dyDescent="0.2">
      <c r="C219" s="51" t="str">
        <f t="shared" si="8"/>
        <v/>
      </c>
      <c r="F219" s="31"/>
      <c r="G219" s="31"/>
      <c r="H219" s="31"/>
    </row>
    <row r="220" spans="3:9" ht="12.75" customHeight="1" x14ac:dyDescent="0.2">
      <c r="C220" s="51" t="str">
        <f t="shared" si="8"/>
        <v/>
      </c>
      <c r="F220" s="31"/>
      <c r="G220" s="31"/>
      <c r="H220" s="31"/>
    </row>
    <row r="221" spans="3:9" ht="12.75" customHeight="1" x14ac:dyDescent="0.2">
      <c r="C221" s="51" t="str">
        <f t="shared" si="8"/>
        <v/>
      </c>
      <c r="F221" s="31"/>
      <c r="G221" s="31"/>
      <c r="H221" s="31"/>
    </row>
    <row r="222" spans="3:9" ht="12.75" customHeight="1" x14ac:dyDescent="0.2">
      <c r="C222" s="51" t="str">
        <f t="shared" si="8"/>
        <v/>
      </c>
      <c r="F222" s="31"/>
      <c r="G222" s="31"/>
      <c r="H222" s="31"/>
    </row>
    <row r="223" spans="3:9" ht="12.75" customHeight="1" x14ac:dyDescent="0.2">
      <c r="C223" s="51" t="str">
        <f t="shared" si="8"/>
        <v/>
      </c>
      <c r="F223" s="31"/>
      <c r="G223" s="31"/>
      <c r="H223" s="31"/>
    </row>
    <row r="224" spans="3:9" ht="12.75" customHeight="1" x14ac:dyDescent="0.2">
      <c r="C224" s="51" t="str">
        <f t="shared" si="8"/>
        <v/>
      </c>
      <c r="F224" s="31"/>
      <c r="G224" s="31"/>
      <c r="H224" s="31"/>
    </row>
    <row r="225" spans="3:8" ht="12.75" customHeight="1" x14ac:dyDescent="0.2">
      <c r="C225" s="51" t="str">
        <f t="shared" si="8"/>
        <v/>
      </c>
      <c r="F225" s="31"/>
      <c r="G225" s="31"/>
      <c r="H225" s="31"/>
    </row>
    <row r="226" spans="3:8" ht="12.75" customHeight="1" x14ac:dyDescent="0.2">
      <c r="C226" s="51" t="str">
        <f t="shared" si="8"/>
        <v/>
      </c>
      <c r="F226" s="31"/>
      <c r="G226" s="31"/>
      <c r="H226" s="31"/>
    </row>
    <row r="227" spans="3:8" ht="12.75" customHeight="1" x14ac:dyDescent="0.2">
      <c r="C227" s="51" t="str">
        <f t="shared" si="8"/>
        <v/>
      </c>
      <c r="F227" s="31"/>
      <c r="G227" s="31"/>
      <c r="H227" s="31"/>
    </row>
    <row r="228" spans="3:8" ht="12.75" customHeight="1" x14ac:dyDescent="0.2">
      <c r="C228" s="51" t="str">
        <f t="shared" si="8"/>
        <v/>
      </c>
      <c r="F228" s="31"/>
      <c r="G228" s="31"/>
      <c r="H228" s="31"/>
    </row>
    <row r="229" spans="3:8" ht="12.75" customHeight="1" x14ac:dyDescent="0.2">
      <c r="C229" s="51" t="str">
        <f t="shared" si="8"/>
        <v/>
      </c>
      <c r="F229" s="31"/>
      <c r="G229" s="31"/>
      <c r="H229" s="31"/>
    </row>
    <row r="230" spans="3:8" ht="12.75" customHeight="1" x14ac:dyDescent="0.2">
      <c r="C230" s="51" t="str">
        <f t="shared" si="8"/>
        <v/>
      </c>
      <c r="F230" s="31"/>
      <c r="G230" s="31"/>
      <c r="H230" s="31"/>
    </row>
    <row r="231" spans="3:8" ht="12.75" customHeight="1" x14ac:dyDescent="0.2">
      <c r="C231" s="51" t="str">
        <f t="shared" si="8"/>
        <v/>
      </c>
      <c r="F231" s="31"/>
      <c r="G231" s="31"/>
      <c r="H231" s="31"/>
    </row>
    <row r="232" spans="3:8" ht="12.75" customHeight="1" x14ac:dyDescent="0.2">
      <c r="C232" s="51" t="str">
        <f t="shared" si="8"/>
        <v/>
      </c>
      <c r="F232" s="31"/>
      <c r="G232" s="31"/>
      <c r="H232" s="31"/>
    </row>
    <row r="233" spans="3:8" ht="12.75" customHeight="1" x14ac:dyDescent="0.2">
      <c r="C233" s="51" t="str">
        <f t="shared" si="8"/>
        <v/>
      </c>
      <c r="F233" s="31"/>
      <c r="G233" s="31"/>
      <c r="H233" s="31"/>
    </row>
    <row r="234" spans="3:8" ht="12.75" customHeight="1" x14ac:dyDescent="0.2">
      <c r="C234" s="51" t="str">
        <f t="shared" si="8"/>
        <v/>
      </c>
      <c r="F234" s="31"/>
      <c r="G234" s="31"/>
      <c r="H234" s="31"/>
    </row>
    <row r="235" spans="3:8" ht="12.75" customHeight="1" x14ac:dyDescent="0.2">
      <c r="C235" s="51" t="str">
        <f t="shared" si="8"/>
        <v/>
      </c>
      <c r="F235" s="31"/>
      <c r="G235" s="31"/>
      <c r="H235" s="31"/>
    </row>
    <row r="236" spans="3:8" ht="12.75" customHeight="1" x14ac:dyDescent="0.2">
      <c r="C236" s="51" t="str">
        <f t="shared" si="8"/>
        <v/>
      </c>
      <c r="F236" s="31"/>
      <c r="G236" s="31"/>
      <c r="H236" s="31"/>
    </row>
    <row r="237" spans="3:8" ht="12.75" customHeight="1" x14ac:dyDescent="0.2">
      <c r="C237" s="51" t="str">
        <f t="shared" si="8"/>
        <v/>
      </c>
      <c r="F237" s="31"/>
      <c r="G237" s="31"/>
      <c r="H237" s="31"/>
    </row>
    <row r="238" spans="3:8" ht="12.75" customHeight="1" x14ac:dyDescent="0.2">
      <c r="C238" s="51" t="str">
        <f t="shared" si="8"/>
        <v/>
      </c>
      <c r="F238" s="31"/>
      <c r="G238" s="31"/>
      <c r="H238" s="31"/>
    </row>
    <row r="239" spans="3:8" ht="12.75" customHeight="1" x14ac:dyDescent="0.2">
      <c r="C239" s="51" t="str">
        <f t="shared" si="8"/>
        <v/>
      </c>
      <c r="F239" s="31"/>
      <c r="G239" s="31"/>
      <c r="H239" s="31"/>
    </row>
    <row r="240" spans="3:8" ht="12.75" customHeight="1" x14ac:dyDescent="0.2">
      <c r="C240" s="51" t="str">
        <f t="shared" si="8"/>
        <v/>
      </c>
      <c r="F240" s="31"/>
      <c r="G240" s="31"/>
      <c r="H240" s="31"/>
    </row>
    <row r="241" spans="3:8" ht="12.75" customHeight="1" x14ac:dyDescent="0.2">
      <c r="C241" s="51" t="str">
        <f t="shared" si="8"/>
        <v/>
      </c>
      <c r="F241" s="31"/>
      <c r="G241" s="31"/>
      <c r="H241" s="31"/>
    </row>
    <row r="242" spans="3:8" ht="12.75" customHeight="1" x14ac:dyDescent="0.2">
      <c r="C242" s="51" t="str">
        <f t="shared" si="8"/>
        <v/>
      </c>
      <c r="F242" s="31"/>
      <c r="G242" s="31"/>
      <c r="H242" s="31"/>
    </row>
    <row r="243" spans="3:8" ht="12.75" customHeight="1" x14ac:dyDescent="0.2">
      <c r="C243" s="51" t="str">
        <f t="shared" si="8"/>
        <v/>
      </c>
      <c r="F243" s="31"/>
      <c r="G243" s="31"/>
      <c r="H243" s="31"/>
    </row>
    <row r="244" spans="3:8" ht="12.75" customHeight="1" x14ac:dyDescent="0.2">
      <c r="C244" s="51" t="str">
        <f t="shared" si="8"/>
        <v/>
      </c>
      <c r="F244" s="31"/>
      <c r="G244" s="31"/>
      <c r="H244" s="31"/>
    </row>
    <row r="245" spans="3:8" ht="12.75" customHeight="1" x14ac:dyDescent="0.2">
      <c r="C245" s="51" t="str">
        <f t="shared" si="8"/>
        <v/>
      </c>
      <c r="F245" s="31"/>
      <c r="G245" s="31"/>
      <c r="H245" s="31"/>
    </row>
    <row r="246" spans="3:8" ht="12.75" customHeight="1" x14ac:dyDescent="0.2">
      <c r="C246" s="51" t="str">
        <f t="shared" si="8"/>
        <v/>
      </c>
      <c r="F246" s="31"/>
      <c r="G246" s="31"/>
      <c r="H246" s="31"/>
    </row>
    <row r="247" spans="3:8" ht="12.75" customHeight="1" x14ac:dyDescent="0.2">
      <c r="C247" s="51" t="str">
        <f t="shared" si="8"/>
        <v/>
      </c>
      <c r="F247" s="31"/>
      <c r="G247" s="31"/>
      <c r="H247" s="31"/>
    </row>
    <row r="248" spans="3:8" ht="12.75" customHeight="1" x14ac:dyDescent="0.2">
      <c r="C248" s="51" t="str">
        <f t="shared" si="8"/>
        <v/>
      </c>
      <c r="F248" s="31"/>
      <c r="G248" s="31"/>
      <c r="H248" s="31"/>
    </row>
    <row r="249" spans="3:8" ht="12.75" customHeight="1" x14ac:dyDescent="0.2">
      <c r="C249" s="51" t="str">
        <f t="shared" si="8"/>
        <v/>
      </c>
      <c r="F249" s="31"/>
      <c r="G249" s="31"/>
      <c r="H249" s="31"/>
    </row>
    <row r="250" spans="3:8" ht="12.75" customHeight="1" x14ac:dyDescent="0.2">
      <c r="C250" s="51" t="str">
        <f t="shared" si="8"/>
        <v/>
      </c>
      <c r="F250" s="31"/>
      <c r="G250" s="31"/>
      <c r="H250" s="31"/>
    </row>
    <row r="251" spans="3:8" ht="12.75" customHeight="1" x14ac:dyDescent="0.2">
      <c r="C251" s="51" t="str">
        <f t="shared" si="8"/>
        <v/>
      </c>
      <c r="F251" s="31"/>
      <c r="G251" s="31"/>
      <c r="H251" s="31"/>
    </row>
    <row r="252" spans="3:8" ht="12.75" customHeight="1" x14ac:dyDescent="0.2">
      <c r="C252" s="51" t="str">
        <f t="shared" si="8"/>
        <v/>
      </c>
      <c r="F252" s="31"/>
      <c r="G252" s="31"/>
      <c r="H252" s="31"/>
    </row>
    <row r="253" spans="3:8" ht="12.75" customHeight="1" x14ac:dyDescent="0.2">
      <c r="C253" s="51" t="str">
        <f t="shared" si="8"/>
        <v/>
      </c>
      <c r="F253" s="31"/>
      <c r="G253" s="31"/>
      <c r="H253" s="31"/>
    </row>
    <row r="254" spans="3:8" ht="12.75" customHeight="1" x14ac:dyDescent="0.2">
      <c r="C254" s="51" t="str">
        <f t="shared" si="8"/>
        <v/>
      </c>
      <c r="F254" s="31"/>
      <c r="G254" s="31"/>
      <c r="H254" s="31"/>
    </row>
    <row r="255" spans="3:8" ht="12.75" customHeight="1" x14ac:dyDescent="0.2">
      <c r="C255" s="51" t="str">
        <f t="shared" si="8"/>
        <v/>
      </c>
      <c r="F255" s="31"/>
      <c r="G255" s="31"/>
      <c r="H255" s="31"/>
    </row>
    <row r="256" spans="3:8" ht="12.75" customHeight="1" x14ac:dyDescent="0.2">
      <c r="C256" s="51" t="str">
        <f t="shared" si="8"/>
        <v/>
      </c>
      <c r="F256" s="31"/>
      <c r="G256" s="31"/>
      <c r="H256" s="31"/>
    </row>
    <row r="257" spans="3:8" ht="12.75" customHeight="1" x14ac:dyDescent="0.2">
      <c r="C257" s="51" t="str">
        <f t="shared" si="8"/>
        <v/>
      </c>
      <c r="F257" s="31"/>
      <c r="G257" s="31"/>
      <c r="H257" s="31"/>
    </row>
    <row r="258" spans="3:8" ht="12.75" customHeight="1" x14ac:dyDescent="0.2">
      <c r="C258" s="51" t="str">
        <f t="shared" si="8"/>
        <v/>
      </c>
      <c r="F258" s="31"/>
      <c r="G258" s="31"/>
      <c r="H258" s="31"/>
    </row>
    <row r="259" spans="3:8" ht="12.75" customHeight="1" x14ac:dyDescent="0.2">
      <c r="C259" s="51" t="str">
        <f t="shared" si="8"/>
        <v/>
      </c>
      <c r="F259" s="31"/>
      <c r="G259" s="31"/>
      <c r="H259" s="31"/>
    </row>
    <row r="260" spans="3:8" ht="12.75" customHeight="1" x14ac:dyDescent="0.2">
      <c r="C260" s="51" t="str">
        <f t="shared" si="8"/>
        <v/>
      </c>
      <c r="F260" s="31"/>
      <c r="G260" s="31"/>
      <c r="H260" s="31"/>
    </row>
    <row r="261" spans="3:8" ht="12.75" customHeight="1" x14ac:dyDescent="0.2">
      <c r="C261" s="51" t="str">
        <f t="shared" si="8"/>
        <v/>
      </c>
      <c r="F261" s="31"/>
      <c r="G261" s="31"/>
      <c r="H261" s="31"/>
    </row>
    <row r="262" spans="3:8" ht="12.75" customHeight="1" x14ac:dyDescent="0.2">
      <c r="C262" s="51" t="str">
        <f t="shared" si="8"/>
        <v/>
      </c>
      <c r="F262" s="31"/>
      <c r="G262" s="31"/>
      <c r="H262" s="31"/>
    </row>
    <row r="263" spans="3:8" ht="12.75" customHeight="1" x14ac:dyDescent="0.2">
      <c r="C263" s="51" t="str">
        <f t="shared" si="8"/>
        <v/>
      </c>
      <c r="F263" s="31"/>
      <c r="G263" s="31"/>
      <c r="H263" s="31"/>
    </row>
    <row r="264" spans="3:8" ht="12.75" customHeight="1" x14ac:dyDescent="0.2">
      <c r="C264" s="51" t="str">
        <f t="shared" si="8"/>
        <v/>
      </c>
      <c r="F264" s="31"/>
      <c r="G264" s="31"/>
      <c r="H264" s="31"/>
    </row>
    <row r="265" spans="3:8" ht="12.75" customHeight="1" x14ac:dyDescent="0.2">
      <c r="C265" s="51" t="str">
        <f t="shared" si="8"/>
        <v/>
      </c>
      <c r="F265" s="31"/>
      <c r="G265" s="31"/>
      <c r="H265" s="31"/>
    </row>
    <row r="266" spans="3:8" ht="12.75" customHeight="1" x14ac:dyDescent="0.2">
      <c r="C266" s="51" t="str">
        <f t="shared" si="8"/>
        <v/>
      </c>
      <c r="F266" s="31"/>
      <c r="G266" s="31"/>
      <c r="H266" s="31"/>
    </row>
    <row r="267" spans="3:8" ht="12.75" customHeight="1" x14ac:dyDescent="0.2">
      <c r="C267" s="51" t="str">
        <f t="shared" si="8"/>
        <v/>
      </c>
      <c r="F267" s="31"/>
      <c r="G267" s="31"/>
      <c r="H267" s="31"/>
    </row>
    <row r="268" spans="3:8" ht="12.75" customHeight="1" x14ac:dyDescent="0.2">
      <c r="C268" s="51" t="str">
        <f t="shared" si="8"/>
        <v/>
      </c>
      <c r="F268" s="31"/>
      <c r="G268" s="31"/>
      <c r="H268" s="31"/>
    </row>
    <row r="269" spans="3:8" ht="12.75" customHeight="1" x14ac:dyDescent="0.2">
      <c r="C269" s="51" t="str">
        <f t="shared" si="8"/>
        <v/>
      </c>
      <c r="F269" s="31"/>
      <c r="G269" s="31"/>
      <c r="H269" s="31"/>
    </row>
    <row r="270" spans="3:8" ht="12.75" customHeight="1" x14ac:dyDescent="0.2">
      <c r="C270" s="51" t="str">
        <f t="shared" ref="C270:C333" si="9">IFERROR("Rent: "&amp;FIND("Rent",E270),IFERROR("Priv Tax: "&amp;FIND("Tax",E270), IFERROR("Income: "&amp;FIND("Payment",E270,1),"")))</f>
        <v/>
      </c>
      <c r="F270" s="31"/>
      <c r="G270" s="31"/>
      <c r="H270" s="31"/>
    </row>
    <row r="271" spans="3:8" ht="12.75" customHeight="1" x14ac:dyDescent="0.2">
      <c r="C271" s="51" t="str">
        <f t="shared" si="9"/>
        <v/>
      </c>
      <c r="F271" s="31"/>
      <c r="G271" s="31"/>
      <c r="H271" s="31"/>
    </row>
    <row r="272" spans="3:8" ht="12.75" customHeight="1" x14ac:dyDescent="0.2">
      <c r="C272" s="51" t="str">
        <f t="shared" si="9"/>
        <v/>
      </c>
      <c r="F272" s="31"/>
      <c r="G272" s="31"/>
      <c r="H272" s="31"/>
    </row>
    <row r="273" spans="3:8" ht="12.75" customHeight="1" x14ac:dyDescent="0.2">
      <c r="C273" s="51" t="str">
        <f t="shared" si="9"/>
        <v/>
      </c>
      <c r="F273" s="31"/>
      <c r="G273" s="31"/>
      <c r="H273" s="31"/>
    </row>
    <row r="274" spans="3:8" ht="12.75" customHeight="1" x14ac:dyDescent="0.2">
      <c r="C274" s="51" t="str">
        <f t="shared" si="9"/>
        <v/>
      </c>
      <c r="F274" s="31"/>
      <c r="G274" s="31"/>
      <c r="H274" s="31"/>
    </row>
    <row r="275" spans="3:8" ht="12.75" customHeight="1" x14ac:dyDescent="0.2">
      <c r="C275" s="51" t="str">
        <f t="shared" si="9"/>
        <v/>
      </c>
      <c r="F275" s="31"/>
      <c r="G275" s="31"/>
      <c r="H275" s="31"/>
    </row>
    <row r="276" spans="3:8" ht="12.75" customHeight="1" x14ac:dyDescent="0.2">
      <c r="C276" s="51" t="str">
        <f t="shared" si="9"/>
        <v/>
      </c>
      <c r="F276" s="31"/>
      <c r="G276" s="31"/>
      <c r="H276" s="31"/>
    </row>
    <row r="277" spans="3:8" ht="12.75" customHeight="1" x14ac:dyDescent="0.2">
      <c r="C277" s="51" t="str">
        <f t="shared" si="9"/>
        <v/>
      </c>
      <c r="F277" s="31"/>
      <c r="G277" s="31"/>
      <c r="H277" s="31"/>
    </row>
    <row r="278" spans="3:8" ht="12.75" customHeight="1" x14ac:dyDescent="0.2">
      <c r="C278" s="51" t="str">
        <f t="shared" si="9"/>
        <v/>
      </c>
      <c r="F278" s="31"/>
      <c r="G278" s="31"/>
      <c r="H278" s="31"/>
    </row>
    <row r="279" spans="3:8" ht="12.75" customHeight="1" x14ac:dyDescent="0.2">
      <c r="C279" s="51" t="str">
        <f t="shared" si="9"/>
        <v/>
      </c>
      <c r="F279" s="31"/>
      <c r="G279" s="31"/>
      <c r="H279" s="31"/>
    </row>
    <row r="280" spans="3:8" ht="12.75" customHeight="1" x14ac:dyDescent="0.2">
      <c r="C280" s="51" t="str">
        <f t="shared" si="9"/>
        <v/>
      </c>
      <c r="F280" s="31"/>
      <c r="G280" s="31"/>
      <c r="H280" s="31"/>
    </row>
    <row r="281" spans="3:8" ht="12.75" customHeight="1" x14ac:dyDescent="0.2">
      <c r="C281" s="51" t="str">
        <f t="shared" si="9"/>
        <v/>
      </c>
      <c r="F281" s="31"/>
      <c r="G281" s="31"/>
      <c r="H281" s="31"/>
    </row>
    <row r="282" spans="3:8" ht="12.75" customHeight="1" x14ac:dyDescent="0.2">
      <c r="C282" s="51" t="str">
        <f t="shared" si="9"/>
        <v/>
      </c>
      <c r="F282" s="31"/>
      <c r="G282" s="31"/>
      <c r="H282" s="31"/>
    </row>
    <row r="283" spans="3:8" ht="12.75" customHeight="1" x14ac:dyDescent="0.2">
      <c r="C283" s="51" t="str">
        <f t="shared" si="9"/>
        <v/>
      </c>
      <c r="F283" s="31"/>
      <c r="G283" s="31"/>
      <c r="H283" s="31"/>
    </row>
    <row r="284" spans="3:8" ht="12.75" customHeight="1" x14ac:dyDescent="0.2">
      <c r="C284" s="51" t="str">
        <f t="shared" si="9"/>
        <v/>
      </c>
      <c r="F284" s="31"/>
      <c r="G284" s="31"/>
      <c r="H284" s="31"/>
    </row>
    <row r="285" spans="3:8" ht="12.75" customHeight="1" x14ac:dyDescent="0.2">
      <c r="C285" s="51" t="str">
        <f t="shared" si="9"/>
        <v/>
      </c>
      <c r="F285" s="31"/>
      <c r="G285" s="31"/>
      <c r="H285" s="31"/>
    </row>
    <row r="286" spans="3:8" ht="12.75" customHeight="1" x14ac:dyDescent="0.2">
      <c r="C286" s="51" t="str">
        <f t="shared" si="9"/>
        <v/>
      </c>
      <c r="F286" s="31"/>
      <c r="G286" s="31"/>
      <c r="H286" s="31"/>
    </row>
    <row r="287" spans="3:8" ht="12.75" customHeight="1" x14ac:dyDescent="0.2">
      <c r="C287" s="51" t="str">
        <f t="shared" si="9"/>
        <v/>
      </c>
      <c r="F287" s="31"/>
      <c r="G287" s="31"/>
      <c r="H287" s="31"/>
    </row>
    <row r="288" spans="3:8" ht="12.75" customHeight="1" x14ac:dyDescent="0.2">
      <c r="C288" s="51" t="str">
        <f t="shared" si="9"/>
        <v/>
      </c>
      <c r="F288" s="31"/>
      <c r="G288" s="31"/>
      <c r="H288" s="31"/>
    </row>
    <row r="289" spans="3:8" ht="12.75" customHeight="1" x14ac:dyDescent="0.2">
      <c r="C289" s="51" t="str">
        <f t="shared" si="9"/>
        <v/>
      </c>
      <c r="F289" s="31"/>
      <c r="G289" s="31"/>
      <c r="H289" s="31"/>
    </row>
    <row r="290" spans="3:8" ht="12.75" customHeight="1" x14ac:dyDescent="0.2">
      <c r="C290" s="51" t="str">
        <f t="shared" si="9"/>
        <v/>
      </c>
      <c r="F290" s="31"/>
      <c r="G290" s="31"/>
      <c r="H290" s="31"/>
    </row>
    <row r="291" spans="3:8" ht="12.75" customHeight="1" x14ac:dyDescent="0.2">
      <c r="C291" s="51" t="str">
        <f t="shared" si="9"/>
        <v/>
      </c>
      <c r="F291" s="31"/>
      <c r="G291" s="31"/>
      <c r="H291" s="31"/>
    </row>
    <row r="292" spans="3:8" ht="12.75" customHeight="1" x14ac:dyDescent="0.2">
      <c r="C292" s="51" t="str">
        <f t="shared" si="9"/>
        <v/>
      </c>
      <c r="F292" s="31"/>
      <c r="G292" s="31"/>
      <c r="H292" s="31"/>
    </row>
    <row r="293" spans="3:8" ht="12.75" customHeight="1" x14ac:dyDescent="0.2">
      <c r="C293" s="51" t="str">
        <f t="shared" si="9"/>
        <v/>
      </c>
      <c r="F293" s="31"/>
      <c r="G293" s="31"/>
      <c r="H293" s="31"/>
    </row>
    <row r="294" spans="3:8" ht="12.75" customHeight="1" x14ac:dyDescent="0.2">
      <c r="C294" s="51" t="str">
        <f t="shared" si="9"/>
        <v/>
      </c>
      <c r="F294" s="31"/>
      <c r="G294" s="31"/>
      <c r="H294" s="31"/>
    </row>
    <row r="295" spans="3:8" ht="12.75" customHeight="1" x14ac:dyDescent="0.2">
      <c r="C295" s="51" t="str">
        <f t="shared" si="9"/>
        <v/>
      </c>
      <c r="F295" s="31"/>
      <c r="G295" s="31"/>
      <c r="H295" s="31"/>
    </row>
    <row r="296" spans="3:8" ht="12.75" customHeight="1" x14ac:dyDescent="0.2">
      <c r="C296" s="51" t="str">
        <f t="shared" si="9"/>
        <v/>
      </c>
      <c r="F296" s="31"/>
      <c r="G296" s="31"/>
      <c r="H296" s="31"/>
    </row>
    <row r="297" spans="3:8" ht="12.75" customHeight="1" x14ac:dyDescent="0.2">
      <c r="C297" s="51" t="str">
        <f t="shared" si="9"/>
        <v/>
      </c>
      <c r="F297" s="31"/>
      <c r="G297" s="31"/>
      <c r="H297" s="31"/>
    </row>
    <row r="298" spans="3:8" ht="12.75" customHeight="1" x14ac:dyDescent="0.2">
      <c r="C298" s="51" t="str">
        <f t="shared" si="9"/>
        <v/>
      </c>
      <c r="F298" s="31"/>
      <c r="G298" s="31"/>
      <c r="H298" s="31"/>
    </row>
    <row r="299" spans="3:8" ht="12.75" customHeight="1" x14ac:dyDescent="0.2">
      <c r="C299" s="51" t="str">
        <f t="shared" si="9"/>
        <v/>
      </c>
      <c r="F299" s="31"/>
      <c r="G299" s="31"/>
      <c r="H299" s="31"/>
    </row>
    <row r="300" spans="3:8" ht="12.75" customHeight="1" x14ac:dyDescent="0.2">
      <c r="C300" s="51" t="str">
        <f t="shared" si="9"/>
        <v/>
      </c>
      <c r="F300" s="31"/>
      <c r="G300" s="31"/>
      <c r="H300" s="31"/>
    </row>
    <row r="301" spans="3:8" ht="12.75" customHeight="1" x14ac:dyDescent="0.2">
      <c r="C301" s="51" t="str">
        <f t="shared" si="9"/>
        <v/>
      </c>
      <c r="F301" s="31"/>
      <c r="G301" s="31"/>
      <c r="H301" s="31"/>
    </row>
    <row r="302" spans="3:8" ht="12.75" customHeight="1" x14ac:dyDescent="0.2">
      <c r="C302" s="51" t="str">
        <f t="shared" si="9"/>
        <v/>
      </c>
      <c r="F302" s="31"/>
      <c r="G302" s="31"/>
      <c r="H302" s="31"/>
    </row>
    <row r="303" spans="3:8" ht="12.75" customHeight="1" x14ac:dyDescent="0.2">
      <c r="C303" s="51" t="str">
        <f t="shared" si="9"/>
        <v/>
      </c>
      <c r="F303" s="31"/>
      <c r="G303" s="31"/>
      <c r="H303" s="31"/>
    </row>
    <row r="304" spans="3:8" ht="12.75" customHeight="1" x14ac:dyDescent="0.2">
      <c r="C304" s="51" t="str">
        <f t="shared" si="9"/>
        <v/>
      </c>
      <c r="F304" s="31"/>
      <c r="G304" s="31"/>
      <c r="H304" s="31"/>
    </row>
    <row r="305" spans="3:8" ht="12.75" customHeight="1" x14ac:dyDescent="0.2">
      <c r="C305" s="51" t="str">
        <f t="shared" si="9"/>
        <v/>
      </c>
      <c r="F305" s="31"/>
      <c r="G305" s="31"/>
      <c r="H305" s="31"/>
    </row>
    <row r="306" spans="3:8" ht="12.75" customHeight="1" x14ac:dyDescent="0.2">
      <c r="C306" s="51" t="str">
        <f t="shared" si="9"/>
        <v/>
      </c>
      <c r="F306" s="31"/>
      <c r="G306" s="31"/>
      <c r="H306" s="31"/>
    </row>
    <row r="307" spans="3:8" ht="12.75" customHeight="1" x14ac:dyDescent="0.2">
      <c r="C307" s="51" t="str">
        <f t="shared" si="9"/>
        <v/>
      </c>
      <c r="F307" s="31"/>
      <c r="G307" s="31"/>
      <c r="H307" s="31"/>
    </row>
    <row r="308" spans="3:8" ht="12.75" customHeight="1" x14ac:dyDescent="0.2">
      <c r="C308" s="51" t="str">
        <f t="shared" si="9"/>
        <v/>
      </c>
      <c r="F308" s="31"/>
      <c r="G308" s="31"/>
      <c r="H308" s="31"/>
    </row>
    <row r="309" spans="3:8" ht="12.75" customHeight="1" x14ac:dyDescent="0.2">
      <c r="C309" s="51" t="str">
        <f t="shared" si="9"/>
        <v/>
      </c>
      <c r="F309" s="31"/>
      <c r="G309" s="31"/>
      <c r="H309" s="31"/>
    </row>
    <row r="310" spans="3:8" ht="12.75" customHeight="1" x14ac:dyDescent="0.2">
      <c r="C310" s="51" t="str">
        <f t="shared" si="9"/>
        <v/>
      </c>
      <c r="F310" s="31"/>
      <c r="G310" s="31"/>
      <c r="H310" s="31"/>
    </row>
    <row r="311" spans="3:8" ht="12.75" customHeight="1" x14ac:dyDescent="0.2">
      <c r="C311" s="51" t="str">
        <f t="shared" si="9"/>
        <v/>
      </c>
      <c r="F311" s="31"/>
      <c r="G311" s="31"/>
      <c r="H311" s="31"/>
    </row>
    <row r="312" spans="3:8" ht="12.75" customHeight="1" x14ac:dyDescent="0.2">
      <c r="C312" s="51" t="str">
        <f t="shared" si="9"/>
        <v/>
      </c>
      <c r="F312" s="31"/>
      <c r="G312" s="31"/>
      <c r="H312" s="31"/>
    </row>
    <row r="313" spans="3:8" ht="12.75" customHeight="1" x14ac:dyDescent="0.2">
      <c r="C313" s="51" t="str">
        <f t="shared" si="9"/>
        <v/>
      </c>
      <c r="F313" s="31"/>
      <c r="G313" s="31"/>
      <c r="H313" s="31"/>
    </row>
    <row r="314" spans="3:8" ht="12.75" customHeight="1" x14ac:dyDescent="0.2">
      <c r="C314" s="51" t="str">
        <f t="shared" si="9"/>
        <v/>
      </c>
      <c r="F314" s="31"/>
      <c r="G314" s="31"/>
      <c r="H314" s="31"/>
    </row>
    <row r="315" spans="3:8" ht="12.75" customHeight="1" x14ac:dyDescent="0.2">
      <c r="C315" s="51" t="str">
        <f t="shared" si="9"/>
        <v/>
      </c>
      <c r="F315" s="31"/>
      <c r="G315" s="31"/>
      <c r="H315" s="31"/>
    </row>
    <row r="316" spans="3:8" ht="12.75" customHeight="1" x14ac:dyDescent="0.2">
      <c r="C316" s="51" t="str">
        <f t="shared" si="9"/>
        <v/>
      </c>
      <c r="F316" s="31"/>
      <c r="G316" s="31"/>
      <c r="H316" s="31"/>
    </row>
    <row r="317" spans="3:8" ht="12.75" customHeight="1" x14ac:dyDescent="0.2">
      <c r="C317" s="51" t="str">
        <f t="shared" si="9"/>
        <v/>
      </c>
      <c r="F317" s="31"/>
      <c r="G317" s="31"/>
      <c r="H317" s="31"/>
    </row>
    <row r="318" spans="3:8" ht="12.75" customHeight="1" x14ac:dyDescent="0.2">
      <c r="C318" s="51" t="str">
        <f t="shared" si="9"/>
        <v/>
      </c>
      <c r="F318" s="31"/>
      <c r="G318" s="31"/>
      <c r="H318" s="31"/>
    </row>
    <row r="319" spans="3:8" ht="12.75" customHeight="1" x14ac:dyDescent="0.2">
      <c r="C319" s="51" t="str">
        <f t="shared" si="9"/>
        <v/>
      </c>
      <c r="F319" s="31"/>
      <c r="G319" s="31"/>
      <c r="H319" s="31"/>
    </row>
    <row r="320" spans="3:8" ht="12.75" customHeight="1" x14ac:dyDescent="0.2">
      <c r="C320" s="51" t="str">
        <f t="shared" si="9"/>
        <v/>
      </c>
      <c r="F320" s="31"/>
      <c r="G320" s="31"/>
      <c r="H320" s="31"/>
    </row>
    <row r="321" spans="3:8" ht="12.75" customHeight="1" x14ac:dyDescent="0.2">
      <c r="C321" s="51" t="str">
        <f t="shared" si="9"/>
        <v/>
      </c>
      <c r="F321" s="31"/>
      <c r="G321" s="31"/>
      <c r="H321" s="31"/>
    </row>
    <row r="322" spans="3:8" ht="12.75" customHeight="1" x14ac:dyDescent="0.2">
      <c r="C322" s="51" t="str">
        <f t="shared" si="9"/>
        <v/>
      </c>
      <c r="F322" s="31"/>
      <c r="G322" s="31"/>
      <c r="H322" s="31"/>
    </row>
    <row r="323" spans="3:8" ht="12.75" customHeight="1" x14ac:dyDescent="0.2">
      <c r="C323" s="51" t="str">
        <f t="shared" si="9"/>
        <v/>
      </c>
      <c r="F323" s="31"/>
      <c r="G323" s="31"/>
      <c r="H323" s="31"/>
    </row>
    <row r="324" spans="3:8" ht="12.75" customHeight="1" x14ac:dyDescent="0.2">
      <c r="C324" s="51" t="str">
        <f t="shared" si="9"/>
        <v/>
      </c>
      <c r="F324" s="31"/>
      <c r="G324" s="31"/>
      <c r="H324" s="31"/>
    </row>
    <row r="325" spans="3:8" ht="12.75" customHeight="1" x14ac:dyDescent="0.2">
      <c r="C325" s="51" t="str">
        <f t="shared" si="9"/>
        <v/>
      </c>
      <c r="F325" s="31"/>
      <c r="G325" s="31"/>
      <c r="H325" s="31"/>
    </row>
    <row r="326" spans="3:8" ht="12.75" customHeight="1" x14ac:dyDescent="0.2">
      <c r="C326" s="51" t="str">
        <f t="shared" si="9"/>
        <v/>
      </c>
      <c r="F326" s="31"/>
      <c r="G326" s="31"/>
      <c r="H326" s="31"/>
    </row>
    <row r="327" spans="3:8" ht="12.75" customHeight="1" x14ac:dyDescent="0.2">
      <c r="C327" s="51" t="str">
        <f t="shared" si="9"/>
        <v/>
      </c>
      <c r="F327" s="31"/>
      <c r="G327" s="31"/>
      <c r="H327" s="31"/>
    </row>
    <row r="328" spans="3:8" ht="12.75" customHeight="1" x14ac:dyDescent="0.2">
      <c r="C328" s="51" t="str">
        <f t="shared" si="9"/>
        <v/>
      </c>
      <c r="F328" s="31"/>
      <c r="G328" s="31"/>
      <c r="H328" s="31"/>
    </row>
    <row r="329" spans="3:8" ht="12.75" customHeight="1" x14ac:dyDescent="0.2">
      <c r="C329" s="51" t="str">
        <f t="shared" si="9"/>
        <v/>
      </c>
      <c r="F329" s="31"/>
      <c r="G329" s="31"/>
      <c r="H329" s="31"/>
    </row>
    <row r="330" spans="3:8" ht="12.75" customHeight="1" x14ac:dyDescent="0.2">
      <c r="C330" s="51" t="str">
        <f t="shared" si="9"/>
        <v/>
      </c>
      <c r="F330" s="31"/>
      <c r="G330" s="31"/>
      <c r="H330" s="31"/>
    </row>
    <row r="331" spans="3:8" ht="12.75" customHeight="1" x14ac:dyDescent="0.2">
      <c r="C331" s="51" t="str">
        <f t="shared" si="9"/>
        <v/>
      </c>
      <c r="F331" s="31"/>
      <c r="G331" s="31"/>
      <c r="H331" s="31"/>
    </row>
    <row r="332" spans="3:8" ht="12.75" customHeight="1" x14ac:dyDescent="0.2">
      <c r="C332" s="51" t="str">
        <f t="shared" si="9"/>
        <v/>
      </c>
      <c r="F332" s="31"/>
      <c r="G332" s="31"/>
      <c r="H332" s="31"/>
    </row>
    <row r="333" spans="3:8" ht="12.75" customHeight="1" x14ac:dyDescent="0.2">
      <c r="C333" s="51" t="str">
        <f t="shared" si="9"/>
        <v/>
      </c>
      <c r="F333" s="31"/>
      <c r="G333" s="31"/>
      <c r="H333" s="31"/>
    </row>
    <row r="334" spans="3:8" ht="12.75" customHeight="1" x14ac:dyDescent="0.2">
      <c r="C334" s="51" t="str">
        <f t="shared" ref="C334:C397" si="10">IFERROR("Rent: "&amp;FIND("Rent",E334),IFERROR("Priv Tax: "&amp;FIND("Tax",E334), IFERROR("Income: "&amp;FIND("Payment",E334,1),"")))</f>
        <v/>
      </c>
      <c r="F334" s="31"/>
      <c r="G334" s="31"/>
      <c r="H334" s="31"/>
    </row>
    <row r="335" spans="3:8" ht="12.75" customHeight="1" x14ac:dyDescent="0.2">
      <c r="C335" s="51" t="str">
        <f t="shared" si="10"/>
        <v/>
      </c>
      <c r="F335" s="31"/>
      <c r="G335" s="31"/>
      <c r="H335" s="31"/>
    </row>
    <row r="336" spans="3:8" ht="12.75" customHeight="1" x14ac:dyDescent="0.2">
      <c r="C336" s="51" t="str">
        <f t="shared" si="10"/>
        <v/>
      </c>
      <c r="F336" s="31"/>
      <c r="G336" s="31"/>
      <c r="H336" s="31"/>
    </row>
    <row r="337" spans="3:8" ht="12.75" customHeight="1" x14ac:dyDescent="0.2">
      <c r="C337" s="51" t="str">
        <f t="shared" si="10"/>
        <v/>
      </c>
      <c r="F337" s="31"/>
      <c r="G337" s="31"/>
      <c r="H337" s="31"/>
    </row>
    <row r="338" spans="3:8" ht="12.75" customHeight="1" x14ac:dyDescent="0.2">
      <c r="C338" s="51" t="str">
        <f t="shared" si="10"/>
        <v/>
      </c>
      <c r="F338" s="31"/>
      <c r="G338" s="31"/>
      <c r="H338" s="31"/>
    </row>
    <row r="339" spans="3:8" ht="12.75" customHeight="1" x14ac:dyDescent="0.2">
      <c r="C339" s="51" t="str">
        <f t="shared" si="10"/>
        <v/>
      </c>
      <c r="F339" s="31"/>
      <c r="G339" s="31"/>
      <c r="H339" s="31"/>
    </row>
    <row r="340" spans="3:8" ht="12.75" customHeight="1" x14ac:dyDescent="0.2">
      <c r="C340" s="51" t="str">
        <f t="shared" si="10"/>
        <v/>
      </c>
      <c r="F340" s="31"/>
      <c r="G340" s="31"/>
      <c r="H340" s="31"/>
    </row>
    <row r="341" spans="3:8" ht="12.75" customHeight="1" x14ac:dyDescent="0.2">
      <c r="C341" s="51" t="str">
        <f t="shared" si="10"/>
        <v/>
      </c>
      <c r="F341" s="31"/>
      <c r="G341" s="31"/>
      <c r="H341" s="31"/>
    </row>
    <row r="342" spans="3:8" ht="12.75" customHeight="1" x14ac:dyDescent="0.2">
      <c r="C342" s="51" t="str">
        <f t="shared" si="10"/>
        <v/>
      </c>
      <c r="F342" s="31"/>
      <c r="G342" s="31"/>
      <c r="H342" s="31"/>
    </row>
    <row r="343" spans="3:8" ht="12.75" customHeight="1" x14ac:dyDescent="0.2">
      <c r="C343" s="51" t="str">
        <f t="shared" si="10"/>
        <v/>
      </c>
      <c r="F343" s="31"/>
      <c r="G343" s="31"/>
      <c r="H343" s="31"/>
    </row>
    <row r="344" spans="3:8" ht="12.75" customHeight="1" x14ac:dyDescent="0.2">
      <c r="C344" s="51" t="str">
        <f t="shared" si="10"/>
        <v/>
      </c>
      <c r="F344" s="31"/>
      <c r="G344" s="31"/>
      <c r="H344" s="31"/>
    </row>
    <row r="345" spans="3:8" ht="12.75" customHeight="1" x14ac:dyDescent="0.2">
      <c r="C345" s="51" t="str">
        <f t="shared" si="10"/>
        <v/>
      </c>
      <c r="F345" s="31"/>
      <c r="G345" s="31"/>
      <c r="H345" s="31"/>
    </row>
    <row r="346" spans="3:8" ht="12.75" customHeight="1" x14ac:dyDescent="0.2">
      <c r="C346" s="51" t="str">
        <f t="shared" si="10"/>
        <v/>
      </c>
      <c r="F346" s="31"/>
      <c r="G346" s="31"/>
      <c r="H346" s="31"/>
    </row>
    <row r="347" spans="3:8" ht="12.75" customHeight="1" x14ac:dyDescent="0.2">
      <c r="C347" s="51" t="str">
        <f t="shared" si="10"/>
        <v/>
      </c>
      <c r="F347" s="31"/>
      <c r="G347" s="31"/>
      <c r="H347" s="31"/>
    </row>
    <row r="348" spans="3:8" ht="12.75" customHeight="1" x14ac:dyDescent="0.2">
      <c r="C348" s="51" t="str">
        <f t="shared" si="10"/>
        <v/>
      </c>
      <c r="F348" s="31"/>
      <c r="G348" s="31"/>
      <c r="H348" s="31"/>
    </row>
    <row r="349" spans="3:8" ht="12.75" customHeight="1" x14ac:dyDescent="0.2">
      <c r="C349" s="51" t="str">
        <f t="shared" si="10"/>
        <v/>
      </c>
      <c r="F349" s="31"/>
      <c r="G349" s="31"/>
      <c r="H349" s="31"/>
    </row>
    <row r="350" spans="3:8" ht="12.75" customHeight="1" x14ac:dyDescent="0.2">
      <c r="C350" s="51" t="str">
        <f t="shared" si="10"/>
        <v/>
      </c>
      <c r="F350" s="31"/>
      <c r="G350" s="31"/>
      <c r="H350" s="31"/>
    </row>
    <row r="351" spans="3:8" ht="12.75" customHeight="1" x14ac:dyDescent="0.2">
      <c r="C351" s="51" t="str">
        <f t="shared" si="10"/>
        <v/>
      </c>
      <c r="F351" s="31"/>
      <c r="G351" s="31"/>
      <c r="H351" s="31"/>
    </row>
    <row r="352" spans="3:8" ht="12.75" customHeight="1" x14ac:dyDescent="0.2">
      <c r="C352" s="51" t="str">
        <f t="shared" si="10"/>
        <v/>
      </c>
      <c r="F352" s="31"/>
      <c r="G352" s="31"/>
      <c r="H352" s="31"/>
    </row>
    <row r="353" spans="3:8" ht="12.75" customHeight="1" x14ac:dyDescent="0.2">
      <c r="C353" s="51" t="str">
        <f t="shared" si="10"/>
        <v/>
      </c>
      <c r="F353" s="31"/>
      <c r="G353" s="31"/>
      <c r="H353" s="31"/>
    </row>
    <row r="354" spans="3:8" ht="12.75" customHeight="1" x14ac:dyDescent="0.2">
      <c r="C354" s="51" t="str">
        <f t="shared" si="10"/>
        <v/>
      </c>
      <c r="F354" s="31"/>
      <c r="G354" s="31"/>
      <c r="H354" s="31"/>
    </row>
    <row r="355" spans="3:8" ht="12.75" customHeight="1" x14ac:dyDescent="0.2">
      <c r="C355" s="51" t="str">
        <f t="shared" si="10"/>
        <v/>
      </c>
      <c r="F355" s="31"/>
      <c r="G355" s="31"/>
      <c r="H355" s="31"/>
    </row>
    <row r="356" spans="3:8" ht="12.75" customHeight="1" x14ac:dyDescent="0.2">
      <c r="C356" s="51" t="str">
        <f t="shared" si="10"/>
        <v/>
      </c>
      <c r="F356" s="31"/>
      <c r="G356" s="31"/>
      <c r="H356" s="31"/>
    </row>
    <row r="357" spans="3:8" ht="12.75" customHeight="1" x14ac:dyDescent="0.2">
      <c r="C357" s="51" t="str">
        <f t="shared" si="10"/>
        <v/>
      </c>
      <c r="F357" s="31"/>
      <c r="G357" s="31"/>
      <c r="H357" s="31"/>
    </row>
    <row r="358" spans="3:8" ht="12.75" customHeight="1" x14ac:dyDescent="0.2">
      <c r="C358" s="51" t="str">
        <f t="shared" si="10"/>
        <v/>
      </c>
      <c r="F358" s="31"/>
      <c r="G358" s="31"/>
      <c r="H358" s="31"/>
    </row>
    <row r="359" spans="3:8" ht="12.75" customHeight="1" x14ac:dyDescent="0.2">
      <c r="C359" s="51" t="str">
        <f t="shared" si="10"/>
        <v/>
      </c>
      <c r="F359" s="31"/>
      <c r="G359" s="31"/>
      <c r="H359" s="31"/>
    </row>
    <row r="360" spans="3:8" ht="12.75" customHeight="1" x14ac:dyDescent="0.2">
      <c r="C360" s="51" t="str">
        <f t="shared" si="10"/>
        <v/>
      </c>
      <c r="F360" s="31"/>
      <c r="G360" s="31"/>
      <c r="H360" s="31"/>
    </row>
    <row r="361" spans="3:8" ht="12.75" customHeight="1" x14ac:dyDescent="0.2">
      <c r="C361" s="51" t="str">
        <f t="shared" si="10"/>
        <v/>
      </c>
      <c r="F361" s="31"/>
      <c r="G361" s="31"/>
      <c r="H361" s="31"/>
    </row>
    <row r="362" spans="3:8" ht="12.75" customHeight="1" x14ac:dyDescent="0.2">
      <c r="C362" s="51" t="str">
        <f t="shared" si="10"/>
        <v/>
      </c>
      <c r="F362" s="31"/>
      <c r="G362" s="31"/>
      <c r="H362" s="31"/>
    </row>
    <row r="363" spans="3:8" ht="12.75" customHeight="1" x14ac:dyDescent="0.2">
      <c r="C363" s="51" t="str">
        <f t="shared" si="10"/>
        <v/>
      </c>
      <c r="F363" s="31"/>
      <c r="G363" s="31"/>
      <c r="H363" s="31"/>
    </row>
    <row r="364" spans="3:8" ht="12.75" customHeight="1" x14ac:dyDescent="0.2">
      <c r="C364" s="51" t="str">
        <f t="shared" si="10"/>
        <v/>
      </c>
      <c r="F364" s="31"/>
      <c r="G364" s="31"/>
      <c r="H364" s="31"/>
    </row>
    <row r="365" spans="3:8" ht="12.75" customHeight="1" x14ac:dyDescent="0.2">
      <c r="C365" s="51" t="str">
        <f t="shared" si="10"/>
        <v/>
      </c>
      <c r="F365" s="31"/>
      <c r="G365" s="31"/>
      <c r="H365" s="31"/>
    </row>
    <row r="366" spans="3:8" ht="12.75" customHeight="1" x14ac:dyDescent="0.2">
      <c r="C366" s="51" t="str">
        <f t="shared" si="10"/>
        <v/>
      </c>
      <c r="F366" s="31"/>
      <c r="G366" s="31"/>
      <c r="H366" s="31"/>
    </row>
    <row r="367" spans="3:8" ht="12.75" customHeight="1" x14ac:dyDescent="0.2">
      <c r="C367" s="51" t="str">
        <f t="shared" si="10"/>
        <v/>
      </c>
      <c r="F367" s="31"/>
      <c r="G367" s="31"/>
      <c r="H367" s="31"/>
    </row>
    <row r="368" spans="3:8" ht="12.75" customHeight="1" x14ac:dyDescent="0.2">
      <c r="C368" s="51" t="str">
        <f t="shared" si="10"/>
        <v/>
      </c>
      <c r="F368" s="31"/>
      <c r="G368" s="31"/>
      <c r="H368" s="31"/>
    </row>
    <row r="369" spans="3:8" ht="12.75" customHeight="1" x14ac:dyDescent="0.2">
      <c r="C369" s="51" t="str">
        <f t="shared" si="10"/>
        <v/>
      </c>
      <c r="F369" s="31"/>
      <c r="G369" s="31"/>
      <c r="H369" s="31"/>
    </row>
    <row r="370" spans="3:8" ht="12.75" customHeight="1" x14ac:dyDescent="0.2">
      <c r="C370" s="51" t="str">
        <f t="shared" si="10"/>
        <v/>
      </c>
      <c r="F370" s="31"/>
      <c r="G370" s="31"/>
      <c r="H370" s="31"/>
    </row>
    <row r="371" spans="3:8" ht="12.75" customHeight="1" x14ac:dyDescent="0.2">
      <c r="C371" s="51" t="str">
        <f t="shared" si="10"/>
        <v/>
      </c>
      <c r="F371" s="31"/>
      <c r="G371" s="31"/>
      <c r="H371" s="31"/>
    </row>
    <row r="372" spans="3:8" ht="12.75" customHeight="1" x14ac:dyDescent="0.2">
      <c r="C372" s="51" t="str">
        <f t="shared" si="10"/>
        <v/>
      </c>
      <c r="F372" s="31"/>
      <c r="G372" s="31"/>
      <c r="H372" s="31"/>
    </row>
    <row r="373" spans="3:8" ht="12.75" customHeight="1" x14ac:dyDescent="0.2">
      <c r="C373" s="51" t="str">
        <f t="shared" si="10"/>
        <v/>
      </c>
      <c r="F373" s="31"/>
      <c r="G373" s="31"/>
      <c r="H373" s="31"/>
    </row>
    <row r="374" spans="3:8" ht="12.75" customHeight="1" x14ac:dyDescent="0.2">
      <c r="C374" s="51" t="str">
        <f t="shared" si="10"/>
        <v/>
      </c>
      <c r="F374" s="31"/>
      <c r="G374" s="31"/>
      <c r="H374" s="31"/>
    </row>
    <row r="375" spans="3:8" ht="12.75" customHeight="1" x14ac:dyDescent="0.2">
      <c r="C375" s="51" t="str">
        <f t="shared" si="10"/>
        <v/>
      </c>
      <c r="F375" s="31"/>
      <c r="G375" s="31"/>
      <c r="H375" s="31"/>
    </row>
    <row r="376" spans="3:8" ht="12.75" customHeight="1" x14ac:dyDescent="0.2">
      <c r="C376" s="51" t="str">
        <f t="shared" si="10"/>
        <v/>
      </c>
      <c r="F376" s="31"/>
      <c r="G376" s="31"/>
      <c r="H376" s="31"/>
    </row>
    <row r="377" spans="3:8" ht="12.75" customHeight="1" x14ac:dyDescent="0.2">
      <c r="C377" s="51" t="str">
        <f t="shared" si="10"/>
        <v/>
      </c>
      <c r="F377" s="31"/>
      <c r="G377" s="31"/>
      <c r="H377" s="31"/>
    </row>
    <row r="378" spans="3:8" ht="12.75" customHeight="1" x14ac:dyDescent="0.2">
      <c r="C378" s="51" t="str">
        <f t="shared" si="10"/>
        <v/>
      </c>
      <c r="F378" s="31"/>
      <c r="G378" s="31"/>
      <c r="H378" s="31"/>
    </row>
    <row r="379" spans="3:8" ht="12.75" customHeight="1" x14ac:dyDescent="0.2">
      <c r="C379" s="51" t="str">
        <f t="shared" si="10"/>
        <v/>
      </c>
      <c r="F379" s="31"/>
      <c r="G379" s="31"/>
      <c r="H379" s="31"/>
    </row>
    <row r="380" spans="3:8" ht="12.75" customHeight="1" x14ac:dyDescent="0.2">
      <c r="C380" s="51" t="str">
        <f t="shared" si="10"/>
        <v/>
      </c>
      <c r="F380" s="31"/>
      <c r="G380" s="31"/>
      <c r="H380" s="31"/>
    </row>
    <row r="381" spans="3:8" ht="12.75" customHeight="1" x14ac:dyDescent="0.2">
      <c r="C381" s="51" t="str">
        <f t="shared" si="10"/>
        <v/>
      </c>
      <c r="F381" s="31"/>
      <c r="G381" s="31"/>
      <c r="H381" s="31"/>
    </row>
    <row r="382" spans="3:8" ht="12.75" customHeight="1" x14ac:dyDescent="0.2">
      <c r="C382" s="51" t="str">
        <f t="shared" si="10"/>
        <v/>
      </c>
      <c r="F382" s="31"/>
      <c r="G382" s="31"/>
      <c r="H382" s="31"/>
    </row>
    <row r="383" spans="3:8" ht="12.75" customHeight="1" x14ac:dyDescent="0.2">
      <c r="C383" s="51" t="str">
        <f t="shared" si="10"/>
        <v/>
      </c>
      <c r="F383" s="31"/>
      <c r="G383" s="31"/>
      <c r="H383" s="31"/>
    </row>
    <row r="384" spans="3:8" ht="12.75" customHeight="1" x14ac:dyDescent="0.2">
      <c r="C384" s="51" t="str">
        <f t="shared" si="10"/>
        <v/>
      </c>
      <c r="F384" s="31"/>
      <c r="G384" s="31"/>
      <c r="H384" s="31"/>
    </row>
    <row r="385" spans="3:8" ht="12.75" customHeight="1" x14ac:dyDescent="0.2">
      <c r="C385" s="51" t="str">
        <f t="shared" si="10"/>
        <v/>
      </c>
      <c r="F385" s="31"/>
      <c r="G385" s="31"/>
      <c r="H385" s="31"/>
    </row>
    <row r="386" spans="3:8" ht="12.75" customHeight="1" x14ac:dyDescent="0.2">
      <c r="C386" s="51" t="str">
        <f t="shared" si="10"/>
        <v/>
      </c>
      <c r="F386" s="31"/>
      <c r="G386" s="31"/>
      <c r="H386" s="31"/>
    </row>
    <row r="387" spans="3:8" ht="12.75" customHeight="1" x14ac:dyDescent="0.2">
      <c r="C387" s="51" t="str">
        <f t="shared" si="10"/>
        <v/>
      </c>
      <c r="F387" s="31"/>
      <c r="G387" s="31"/>
      <c r="H387" s="31"/>
    </row>
    <row r="388" spans="3:8" ht="12.75" customHeight="1" x14ac:dyDescent="0.2">
      <c r="C388" s="51" t="str">
        <f t="shared" si="10"/>
        <v/>
      </c>
      <c r="F388" s="31"/>
      <c r="G388" s="31"/>
      <c r="H388" s="31"/>
    </row>
    <row r="389" spans="3:8" ht="12.75" customHeight="1" x14ac:dyDescent="0.2">
      <c r="C389" s="51" t="str">
        <f t="shared" si="10"/>
        <v/>
      </c>
      <c r="F389" s="31"/>
      <c r="G389" s="31"/>
      <c r="H389" s="31"/>
    </row>
    <row r="390" spans="3:8" ht="12.75" customHeight="1" x14ac:dyDescent="0.2">
      <c r="C390" s="51" t="str">
        <f t="shared" si="10"/>
        <v/>
      </c>
      <c r="F390" s="31"/>
      <c r="G390" s="31"/>
      <c r="H390" s="31"/>
    </row>
    <row r="391" spans="3:8" ht="12.75" customHeight="1" x14ac:dyDescent="0.2">
      <c r="C391" s="51" t="str">
        <f t="shared" si="10"/>
        <v/>
      </c>
      <c r="F391" s="31"/>
      <c r="G391" s="31"/>
      <c r="H391" s="31"/>
    </row>
    <row r="392" spans="3:8" ht="12.75" customHeight="1" x14ac:dyDescent="0.2">
      <c r="C392" s="51" t="str">
        <f t="shared" si="10"/>
        <v/>
      </c>
      <c r="F392" s="31"/>
      <c r="G392" s="31"/>
      <c r="H392" s="31"/>
    </row>
    <row r="393" spans="3:8" ht="12.75" customHeight="1" x14ac:dyDescent="0.2">
      <c r="C393" s="51" t="str">
        <f t="shared" si="10"/>
        <v/>
      </c>
      <c r="F393" s="31"/>
      <c r="G393" s="31"/>
      <c r="H393" s="31"/>
    </row>
    <row r="394" spans="3:8" ht="12.75" customHeight="1" x14ac:dyDescent="0.2">
      <c r="C394" s="51" t="str">
        <f t="shared" si="10"/>
        <v/>
      </c>
      <c r="F394" s="31"/>
      <c r="G394" s="31"/>
      <c r="H394" s="31"/>
    </row>
    <row r="395" spans="3:8" ht="12.75" customHeight="1" x14ac:dyDescent="0.2">
      <c r="C395" s="51" t="str">
        <f t="shared" si="10"/>
        <v/>
      </c>
      <c r="F395" s="31"/>
      <c r="G395" s="31"/>
      <c r="H395" s="31"/>
    </row>
    <row r="396" spans="3:8" ht="12.75" customHeight="1" x14ac:dyDescent="0.2">
      <c r="C396" s="51" t="str">
        <f t="shared" si="10"/>
        <v/>
      </c>
      <c r="F396" s="31"/>
      <c r="G396" s="31"/>
      <c r="H396" s="31"/>
    </row>
    <row r="397" spans="3:8" ht="12.75" customHeight="1" x14ac:dyDescent="0.2">
      <c r="C397" s="51" t="str">
        <f t="shared" si="10"/>
        <v/>
      </c>
      <c r="F397" s="31"/>
      <c r="G397" s="31"/>
      <c r="H397" s="31"/>
    </row>
    <row r="398" spans="3:8" ht="12.75" customHeight="1" x14ac:dyDescent="0.2">
      <c r="C398" s="51" t="str">
        <f t="shared" ref="C398:C423" si="11">IFERROR("Rent: "&amp;FIND("Rent",E398),IFERROR("Priv Tax: "&amp;FIND("Tax",E398), IFERROR("Income: "&amp;FIND("Payment",E398,1),"")))</f>
        <v/>
      </c>
      <c r="F398" s="31"/>
      <c r="G398" s="31"/>
      <c r="H398" s="31"/>
    </row>
    <row r="399" spans="3:8" ht="12.75" customHeight="1" x14ac:dyDescent="0.2">
      <c r="C399" s="51" t="str">
        <f t="shared" si="11"/>
        <v/>
      </c>
      <c r="F399" s="31"/>
      <c r="G399" s="31"/>
      <c r="H399" s="31"/>
    </row>
    <row r="400" spans="3:8" ht="12.75" customHeight="1" x14ac:dyDescent="0.2">
      <c r="C400" s="51" t="str">
        <f t="shared" si="11"/>
        <v/>
      </c>
      <c r="F400" s="31"/>
      <c r="G400" s="31"/>
      <c r="H400" s="31"/>
    </row>
    <row r="401" spans="3:8" ht="12.75" customHeight="1" x14ac:dyDescent="0.2">
      <c r="C401" s="51" t="str">
        <f t="shared" si="11"/>
        <v/>
      </c>
      <c r="F401" s="31"/>
      <c r="G401" s="31"/>
      <c r="H401" s="31"/>
    </row>
    <row r="402" spans="3:8" ht="12.75" customHeight="1" x14ac:dyDescent="0.2">
      <c r="C402" s="51" t="str">
        <f t="shared" si="11"/>
        <v/>
      </c>
      <c r="F402" s="31"/>
      <c r="G402" s="31"/>
      <c r="H402" s="31"/>
    </row>
    <row r="403" spans="3:8" ht="12.75" customHeight="1" x14ac:dyDescent="0.2">
      <c r="C403" s="51" t="str">
        <f t="shared" si="11"/>
        <v/>
      </c>
      <c r="F403" s="31"/>
      <c r="G403" s="31"/>
      <c r="H403" s="31"/>
    </row>
    <row r="404" spans="3:8" ht="12.75" customHeight="1" x14ac:dyDescent="0.2">
      <c r="C404" s="51" t="str">
        <f t="shared" si="11"/>
        <v/>
      </c>
      <c r="F404" s="31"/>
      <c r="G404" s="31"/>
      <c r="H404" s="31"/>
    </row>
    <row r="405" spans="3:8" ht="12.75" customHeight="1" x14ac:dyDescent="0.2">
      <c r="C405" s="51" t="str">
        <f t="shared" si="11"/>
        <v/>
      </c>
      <c r="F405" s="31"/>
      <c r="G405" s="31"/>
      <c r="H405" s="31"/>
    </row>
    <row r="406" spans="3:8" ht="12.75" customHeight="1" x14ac:dyDescent="0.2">
      <c r="C406" s="51" t="str">
        <f t="shared" si="11"/>
        <v/>
      </c>
      <c r="F406" s="31"/>
      <c r="G406" s="31"/>
      <c r="H406" s="31"/>
    </row>
    <row r="407" spans="3:8" ht="12.75" customHeight="1" x14ac:dyDescent="0.2">
      <c r="C407" s="51" t="str">
        <f t="shared" si="11"/>
        <v/>
      </c>
      <c r="F407" s="31"/>
      <c r="G407" s="31"/>
      <c r="H407" s="31"/>
    </row>
    <row r="408" spans="3:8" ht="12.75" customHeight="1" x14ac:dyDescent="0.2">
      <c r="C408" s="51" t="str">
        <f t="shared" si="11"/>
        <v/>
      </c>
      <c r="F408" s="31"/>
      <c r="G408" s="31"/>
      <c r="H408" s="31"/>
    </row>
    <row r="409" spans="3:8" ht="12.75" customHeight="1" x14ac:dyDescent="0.2">
      <c r="C409" s="51" t="str">
        <f t="shared" si="11"/>
        <v/>
      </c>
      <c r="F409" s="31"/>
      <c r="G409" s="31"/>
      <c r="H409" s="31"/>
    </row>
    <row r="410" spans="3:8" ht="12.75" customHeight="1" x14ac:dyDescent="0.2">
      <c r="C410" s="51" t="str">
        <f t="shared" si="11"/>
        <v/>
      </c>
      <c r="F410" s="31"/>
      <c r="G410" s="31"/>
      <c r="H410" s="31"/>
    </row>
    <row r="411" spans="3:8" ht="12.75" customHeight="1" x14ac:dyDescent="0.2">
      <c r="C411" s="51" t="str">
        <f t="shared" si="11"/>
        <v/>
      </c>
      <c r="F411" s="31"/>
      <c r="G411" s="31"/>
      <c r="H411" s="31"/>
    </row>
    <row r="412" spans="3:8" ht="12.75" customHeight="1" x14ac:dyDescent="0.2">
      <c r="C412" s="51" t="str">
        <f t="shared" si="11"/>
        <v/>
      </c>
      <c r="F412" s="31"/>
      <c r="G412" s="31"/>
      <c r="H412" s="31"/>
    </row>
    <row r="413" spans="3:8" ht="12.75" customHeight="1" x14ac:dyDescent="0.2">
      <c r="C413" s="51" t="str">
        <f t="shared" si="11"/>
        <v/>
      </c>
      <c r="F413" s="31"/>
      <c r="G413" s="31"/>
      <c r="H413" s="31"/>
    </row>
    <row r="414" spans="3:8" ht="12.75" customHeight="1" x14ac:dyDescent="0.2">
      <c r="C414" s="51" t="str">
        <f t="shared" si="11"/>
        <v/>
      </c>
      <c r="F414" s="31"/>
      <c r="G414" s="31"/>
      <c r="H414" s="31"/>
    </row>
    <row r="415" spans="3:8" ht="12.75" customHeight="1" x14ac:dyDescent="0.2">
      <c r="C415" s="51" t="str">
        <f t="shared" si="11"/>
        <v/>
      </c>
      <c r="F415" s="31"/>
      <c r="G415" s="31"/>
      <c r="H415" s="31"/>
    </row>
    <row r="416" spans="3:8" ht="12.75" customHeight="1" x14ac:dyDescent="0.2">
      <c r="C416" s="51" t="str">
        <f t="shared" si="11"/>
        <v/>
      </c>
      <c r="F416" s="31"/>
      <c r="G416" s="31"/>
      <c r="H416" s="31"/>
    </row>
    <row r="417" spans="3:8" ht="12.75" customHeight="1" x14ac:dyDescent="0.2">
      <c r="C417" s="51" t="str">
        <f t="shared" si="11"/>
        <v/>
      </c>
      <c r="F417" s="31"/>
      <c r="G417" s="31"/>
      <c r="H417" s="31"/>
    </row>
    <row r="418" spans="3:8" ht="12.75" customHeight="1" x14ac:dyDescent="0.2">
      <c r="C418" s="51" t="str">
        <f t="shared" si="11"/>
        <v/>
      </c>
      <c r="F418" s="31"/>
      <c r="G418" s="31"/>
      <c r="H418" s="31"/>
    </row>
    <row r="419" spans="3:8" ht="12.75" customHeight="1" x14ac:dyDescent="0.2">
      <c r="C419" s="51" t="str">
        <f t="shared" si="11"/>
        <v/>
      </c>
      <c r="F419" s="31"/>
      <c r="G419" s="31"/>
      <c r="H419" s="31"/>
    </row>
    <row r="420" spans="3:8" ht="12.75" customHeight="1" x14ac:dyDescent="0.2">
      <c r="C420" s="51" t="str">
        <f t="shared" si="11"/>
        <v/>
      </c>
      <c r="F420" s="31"/>
      <c r="G420" s="31"/>
      <c r="H420" s="31"/>
    </row>
    <row r="421" spans="3:8" ht="12.75" customHeight="1" x14ac:dyDescent="0.2">
      <c r="C421" s="51" t="str">
        <f t="shared" si="11"/>
        <v/>
      </c>
      <c r="F421" s="31"/>
      <c r="G421" s="31"/>
      <c r="H421" s="31"/>
    </row>
    <row r="422" spans="3:8" ht="12.75" customHeight="1" x14ac:dyDescent="0.2">
      <c r="C422" s="51" t="str">
        <f t="shared" si="11"/>
        <v/>
      </c>
      <c r="F422" s="31"/>
      <c r="G422" s="31"/>
      <c r="H422" s="31"/>
    </row>
    <row r="423" spans="3:8" ht="12.75" customHeight="1" x14ac:dyDescent="0.2">
      <c r="C423" s="51" t="str">
        <f t="shared" si="11"/>
        <v/>
      </c>
      <c r="F423" s="31"/>
      <c r="G423" s="31"/>
      <c r="H423" s="31"/>
    </row>
    <row r="424" spans="3:8" ht="12.75" customHeight="1" x14ac:dyDescent="0.2">
      <c r="F424" s="31"/>
      <c r="G424" s="31"/>
      <c r="H424" s="31"/>
    </row>
    <row r="425" spans="3:8" ht="12.75" customHeight="1" x14ac:dyDescent="0.2">
      <c r="F425" s="31"/>
      <c r="G425" s="31"/>
      <c r="H425" s="31"/>
    </row>
    <row r="426" spans="3:8" ht="12.75" customHeight="1" x14ac:dyDescent="0.2">
      <c r="F426" s="31"/>
      <c r="G426" s="31"/>
      <c r="H426" s="31"/>
    </row>
    <row r="427" spans="3:8" ht="12.75" customHeight="1" x14ac:dyDescent="0.2">
      <c r="F427" s="31"/>
      <c r="G427" s="31"/>
      <c r="H427" s="31"/>
    </row>
    <row r="428" spans="3:8" ht="12.75" customHeight="1" x14ac:dyDescent="0.2">
      <c r="F428" s="31"/>
      <c r="G428" s="31"/>
      <c r="H428" s="31"/>
    </row>
    <row r="429" spans="3:8" ht="12.75" customHeight="1" x14ac:dyDescent="0.2">
      <c r="F429" s="31"/>
      <c r="G429" s="31"/>
      <c r="H429" s="31"/>
    </row>
    <row r="430" spans="3:8" ht="12.75" customHeight="1" x14ac:dyDescent="0.2">
      <c r="F430" s="31"/>
      <c r="G430" s="31"/>
      <c r="H430" s="31"/>
    </row>
    <row r="431" spans="3:8" ht="12.75" customHeight="1" x14ac:dyDescent="0.2">
      <c r="F431" s="31"/>
      <c r="G431" s="31"/>
      <c r="H431" s="31"/>
    </row>
    <row r="432" spans="3:8" ht="12.75" customHeight="1" x14ac:dyDescent="0.2">
      <c r="F432" s="31"/>
      <c r="G432" s="31"/>
      <c r="H432" s="31"/>
    </row>
    <row r="433" spans="6:8" ht="12.75" customHeight="1" x14ac:dyDescent="0.2">
      <c r="F433" s="31"/>
      <c r="G433" s="31"/>
      <c r="H433" s="31"/>
    </row>
    <row r="434" spans="6:8" ht="12.75" customHeight="1" x14ac:dyDescent="0.2">
      <c r="F434" s="31"/>
      <c r="G434" s="31"/>
      <c r="H434" s="31"/>
    </row>
    <row r="435" spans="6:8" ht="12.75" customHeight="1" x14ac:dyDescent="0.2">
      <c r="F435" s="31"/>
      <c r="G435" s="31"/>
      <c r="H435" s="31"/>
    </row>
    <row r="436" spans="6:8" ht="12.75" customHeight="1" x14ac:dyDescent="0.2">
      <c r="F436" s="31"/>
      <c r="G436" s="31"/>
      <c r="H436" s="31"/>
    </row>
    <row r="437" spans="6:8" ht="12.75" customHeight="1" x14ac:dyDescent="0.2">
      <c r="F437" s="31"/>
      <c r="G437" s="31"/>
      <c r="H437" s="31"/>
    </row>
    <row r="438" spans="6:8" ht="12.75" customHeight="1" x14ac:dyDescent="0.2">
      <c r="F438" s="31"/>
      <c r="G438" s="31"/>
      <c r="H438" s="31"/>
    </row>
    <row r="439" spans="6:8" ht="12.75" customHeight="1" x14ac:dyDescent="0.2">
      <c r="F439" s="31"/>
      <c r="G439" s="31"/>
      <c r="H439" s="31"/>
    </row>
    <row r="440" spans="6:8" ht="12.75" customHeight="1" x14ac:dyDescent="0.2">
      <c r="F440" s="31"/>
      <c r="G440" s="31"/>
      <c r="H440" s="31"/>
    </row>
    <row r="441" spans="6:8" ht="12.75" customHeight="1" x14ac:dyDescent="0.2">
      <c r="F441" s="31"/>
      <c r="G441" s="31"/>
      <c r="H441" s="31"/>
    </row>
    <row r="442" spans="6:8" ht="12.75" customHeight="1" x14ac:dyDescent="0.2">
      <c r="F442" s="31"/>
      <c r="G442" s="31"/>
      <c r="H442" s="31"/>
    </row>
    <row r="443" spans="6:8" ht="12.75" customHeight="1" x14ac:dyDescent="0.2">
      <c r="F443" s="31"/>
      <c r="G443" s="31"/>
      <c r="H443" s="31"/>
    </row>
    <row r="444" spans="6:8" ht="12.75" customHeight="1" x14ac:dyDescent="0.2">
      <c r="F444" s="31"/>
      <c r="G444" s="31"/>
      <c r="H444" s="31"/>
    </row>
    <row r="445" spans="6:8" ht="12.75" customHeight="1" x14ac:dyDescent="0.2">
      <c r="F445" s="31"/>
      <c r="G445" s="31"/>
      <c r="H445" s="31"/>
    </row>
    <row r="446" spans="6:8" ht="12.75" customHeight="1" x14ac:dyDescent="0.2">
      <c r="F446" s="31"/>
      <c r="G446" s="31"/>
      <c r="H446" s="31"/>
    </row>
    <row r="447" spans="6:8" ht="12.75" customHeight="1" x14ac:dyDescent="0.2">
      <c r="F447" s="31"/>
      <c r="G447" s="31"/>
      <c r="H447" s="31"/>
    </row>
    <row r="448" spans="6:8" ht="12.75" customHeight="1" x14ac:dyDescent="0.2">
      <c r="F448" s="31"/>
      <c r="G448" s="31"/>
      <c r="H448" s="31"/>
    </row>
    <row r="449" spans="6:8" ht="12.75" customHeight="1" x14ac:dyDescent="0.2">
      <c r="F449" s="31"/>
      <c r="G449" s="31"/>
      <c r="H449" s="31"/>
    </row>
    <row r="450" spans="6:8" ht="12.75" customHeight="1" x14ac:dyDescent="0.2">
      <c r="F450" s="31"/>
      <c r="G450" s="31"/>
      <c r="H450" s="31"/>
    </row>
    <row r="451" spans="6:8" ht="12.75" customHeight="1" x14ac:dyDescent="0.2">
      <c r="F451" s="31"/>
      <c r="G451" s="31"/>
      <c r="H451" s="31"/>
    </row>
    <row r="452" spans="6:8" ht="12.75" customHeight="1" x14ac:dyDescent="0.2">
      <c r="F452" s="31"/>
      <c r="G452" s="31"/>
      <c r="H452" s="31"/>
    </row>
    <row r="453" spans="6:8" ht="12.75" customHeight="1" x14ac:dyDescent="0.2">
      <c r="F453" s="31"/>
      <c r="G453" s="31"/>
      <c r="H453" s="31"/>
    </row>
    <row r="454" spans="6:8" ht="12.75" customHeight="1" x14ac:dyDescent="0.2">
      <c r="F454" s="31"/>
      <c r="G454" s="31"/>
      <c r="H454" s="31"/>
    </row>
    <row r="455" spans="6:8" ht="12.75" customHeight="1" x14ac:dyDescent="0.2">
      <c r="F455" s="31"/>
      <c r="G455" s="31"/>
      <c r="H455" s="31"/>
    </row>
    <row r="456" spans="6:8" ht="12.75" customHeight="1" x14ac:dyDescent="0.2">
      <c r="F456" s="31"/>
      <c r="G456" s="31"/>
      <c r="H456" s="31"/>
    </row>
    <row r="457" spans="6:8" ht="12.75" customHeight="1" x14ac:dyDescent="0.2">
      <c r="F457" s="31"/>
      <c r="G457" s="31"/>
      <c r="H457" s="31"/>
    </row>
    <row r="458" spans="6:8" ht="12.75" customHeight="1" x14ac:dyDescent="0.2">
      <c r="F458" s="31"/>
      <c r="G458" s="31"/>
      <c r="H458" s="31"/>
    </row>
    <row r="459" spans="6:8" ht="12.75" customHeight="1" x14ac:dyDescent="0.2">
      <c r="F459" s="31"/>
      <c r="G459" s="31"/>
      <c r="H459" s="31"/>
    </row>
    <row r="460" spans="6:8" ht="12.75" customHeight="1" x14ac:dyDescent="0.2">
      <c r="F460" s="31"/>
      <c r="G460" s="31"/>
      <c r="H460" s="31"/>
    </row>
    <row r="461" spans="6:8" ht="12.75" customHeight="1" x14ac:dyDescent="0.2">
      <c r="F461" s="31"/>
      <c r="G461" s="31"/>
      <c r="H461" s="31"/>
    </row>
    <row r="462" spans="6:8" ht="12.75" customHeight="1" x14ac:dyDescent="0.2">
      <c r="F462" s="31"/>
      <c r="G462" s="31"/>
      <c r="H462" s="31"/>
    </row>
    <row r="463" spans="6:8" ht="12.75" customHeight="1" x14ac:dyDescent="0.2">
      <c r="F463" s="31"/>
      <c r="G463" s="31"/>
      <c r="H463" s="31"/>
    </row>
    <row r="464" spans="6:8" ht="12.75" customHeight="1" x14ac:dyDescent="0.2">
      <c r="F464" s="31"/>
      <c r="G464" s="31"/>
      <c r="H464" s="31"/>
    </row>
    <row r="465" spans="6:8" ht="12.75" customHeight="1" x14ac:dyDescent="0.2">
      <c r="F465" s="31"/>
      <c r="G465" s="31"/>
      <c r="H465" s="31"/>
    </row>
    <row r="466" spans="6:8" ht="12.75" customHeight="1" x14ac:dyDescent="0.2">
      <c r="F466" s="31"/>
      <c r="G466" s="31"/>
      <c r="H466" s="31"/>
    </row>
    <row r="467" spans="6:8" ht="12.75" customHeight="1" x14ac:dyDescent="0.2">
      <c r="F467" s="31"/>
      <c r="G467" s="31"/>
      <c r="H467" s="31"/>
    </row>
    <row r="468" spans="6:8" ht="12.75" customHeight="1" x14ac:dyDescent="0.2">
      <c r="F468" s="31"/>
      <c r="G468" s="31"/>
      <c r="H468" s="31"/>
    </row>
    <row r="469" spans="6:8" ht="12.75" customHeight="1" x14ac:dyDescent="0.2">
      <c r="F469" s="31"/>
      <c r="G469" s="31"/>
      <c r="H469" s="31"/>
    </row>
    <row r="470" spans="6:8" ht="12.75" customHeight="1" x14ac:dyDescent="0.2">
      <c r="F470" s="31"/>
      <c r="G470" s="31"/>
      <c r="H470" s="31"/>
    </row>
    <row r="471" spans="6:8" ht="12.75" customHeight="1" x14ac:dyDescent="0.2">
      <c r="F471" s="31"/>
      <c r="G471" s="31"/>
      <c r="H471" s="31"/>
    </row>
    <row r="472" spans="6:8" ht="12.75" customHeight="1" x14ac:dyDescent="0.2">
      <c r="F472" s="31"/>
      <c r="G472" s="31"/>
      <c r="H472" s="31"/>
    </row>
    <row r="473" spans="6:8" ht="12.75" customHeight="1" x14ac:dyDescent="0.2">
      <c r="F473" s="31"/>
      <c r="G473" s="31"/>
      <c r="H473" s="31"/>
    </row>
    <row r="474" spans="6:8" ht="12.75" customHeight="1" x14ac:dyDescent="0.2">
      <c r="F474" s="31"/>
      <c r="G474" s="31"/>
      <c r="H474" s="31"/>
    </row>
    <row r="475" spans="6:8" ht="12.75" customHeight="1" x14ac:dyDescent="0.2">
      <c r="F475" s="31"/>
      <c r="G475" s="31"/>
      <c r="H475" s="31"/>
    </row>
    <row r="476" spans="6:8" ht="12.75" customHeight="1" x14ac:dyDescent="0.2">
      <c r="F476" s="31"/>
      <c r="G476" s="31"/>
      <c r="H476" s="31"/>
    </row>
    <row r="477" spans="6:8" ht="12.75" customHeight="1" x14ac:dyDescent="0.2">
      <c r="F477" s="31"/>
      <c r="G477" s="31"/>
      <c r="H477" s="31"/>
    </row>
    <row r="478" spans="6:8" ht="12.75" customHeight="1" x14ac:dyDescent="0.2">
      <c r="F478" s="31"/>
      <c r="G478" s="31"/>
      <c r="H478" s="31"/>
    </row>
    <row r="479" spans="6:8" ht="12.75" customHeight="1" x14ac:dyDescent="0.2">
      <c r="F479" s="31"/>
      <c r="G479" s="31"/>
      <c r="H479" s="31"/>
    </row>
    <row r="480" spans="6:8" ht="12.75" customHeight="1" x14ac:dyDescent="0.2">
      <c r="F480" s="31"/>
      <c r="G480" s="31"/>
      <c r="H480" s="31"/>
    </row>
    <row r="481" spans="6:8" ht="12.75" customHeight="1" x14ac:dyDescent="0.2">
      <c r="F481" s="31"/>
      <c r="G481" s="31"/>
      <c r="H481" s="31"/>
    </row>
    <row r="482" spans="6:8" ht="12.75" customHeight="1" x14ac:dyDescent="0.2">
      <c r="F482" s="31"/>
      <c r="G482" s="31"/>
      <c r="H482" s="31"/>
    </row>
    <row r="483" spans="6:8" ht="12.75" customHeight="1" x14ac:dyDescent="0.2">
      <c r="F483" s="31"/>
      <c r="G483" s="31"/>
      <c r="H483" s="31"/>
    </row>
    <row r="484" spans="6:8" ht="12.75" customHeight="1" x14ac:dyDescent="0.2">
      <c r="F484" s="31"/>
      <c r="G484" s="31"/>
      <c r="H484" s="31"/>
    </row>
    <row r="485" spans="6:8" ht="12.75" customHeight="1" x14ac:dyDescent="0.2">
      <c r="F485" s="31"/>
      <c r="G485" s="31"/>
      <c r="H485" s="31"/>
    </row>
    <row r="486" spans="6:8" ht="12.75" customHeight="1" x14ac:dyDescent="0.2">
      <c r="F486" s="31"/>
      <c r="G486" s="31"/>
      <c r="H486" s="31"/>
    </row>
    <row r="487" spans="6:8" ht="12.75" customHeight="1" x14ac:dyDescent="0.2">
      <c r="F487" s="31"/>
      <c r="G487" s="31"/>
      <c r="H487" s="31"/>
    </row>
    <row r="488" spans="6:8" ht="12.75" customHeight="1" x14ac:dyDescent="0.2">
      <c r="F488" s="31"/>
      <c r="G488" s="31"/>
      <c r="H488" s="31"/>
    </row>
    <row r="489" spans="6:8" ht="12.75" customHeight="1" x14ac:dyDescent="0.2">
      <c r="F489" s="31"/>
      <c r="G489" s="31"/>
      <c r="H489" s="31"/>
    </row>
    <row r="490" spans="6:8" ht="12.75" customHeight="1" x14ac:dyDescent="0.2">
      <c r="F490" s="31"/>
      <c r="G490" s="31"/>
      <c r="H490" s="31"/>
    </row>
    <row r="491" spans="6:8" ht="12.75" customHeight="1" x14ac:dyDescent="0.2">
      <c r="F491" s="31"/>
      <c r="G491" s="31"/>
      <c r="H491" s="31"/>
    </row>
    <row r="492" spans="6:8" ht="12.75" customHeight="1" x14ac:dyDescent="0.2">
      <c r="F492" s="31"/>
      <c r="G492" s="31"/>
      <c r="H492" s="31"/>
    </row>
    <row r="493" spans="6:8" ht="12.75" customHeight="1" x14ac:dyDescent="0.2">
      <c r="F493" s="31"/>
      <c r="G493" s="31"/>
      <c r="H493" s="31"/>
    </row>
    <row r="494" spans="6:8" ht="12.75" customHeight="1" x14ac:dyDescent="0.2">
      <c r="F494" s="31"/>
      <c r="G494" s="31"/>
      <c r="H494" s="31"/>
    </row>
    <row r="495" spans="6:8" ht="12.75" customHeight="1" x14ac:dyDescent="0.2">
      <c r="F495" s="31"/>
      <c r="G495" s="31"/>
      <c r="H495" s="31"/>
    </row>
    <row r="496" spans="6:8" ht="12.75" customHeight="1" x14ac:dyDescent="0.2">
      <c r="F496" s="31"/>
      <c r="G496" s="31"/>
      <c r="H496" s="31"/>
    </row>
    <row r="497" spans="6:8" ht="12.75" customHeight="1" x14ac:dyDescent="0.2">
      <c r="F497" s="31"/>
      <c r="G497" s="31"/>
      <c r="H497" s="31"/>
    </row>
    <row r="498" spans="6:8" ht="12.75" customHeight="1" x14ac:dyDescent="0.2">
      <c r="F498" s="31"/>
      <c r="G498" s="31"/>
      <c r="H498" s="31"/>
    </row>
    <row r="499" spans="6:8" ht="12.75" customHeight="1" x14ac:dyDescent="0.2">
      <c r="F499" s="31"/>
      <c r="G499" s="31"/>
      <c r="H499" s="31"/>
    </row>
    <row r="500" spans="6:8" ht="12.75" customHeight="1" x14ac:dyDescent="0.2">
      <c r="F500" s="31"/>
      <c r="G500" s="31"/>
      <c r="H500" s="31"/>
    </row>
    <row r="501" spans="6:8" ht="12.75" customHeight="1" x14ac:dyDescent="0.2">
      <c r="F501" s="31"/>
      <c r="G501" s="31"/>
      <c r="H501" s="31"/>
    </row>
    <row r="502" spans="6:8" ht="12.75" customHeight="1" x14ac:dyDescent="0.2">
      <c r="F502" s="31"/>
      <c r="G502" s="31"/>
      <c r="H502" s="31"/>
    </row>
    <row r="503" spans="6:8" ht="12.75" customHeight="1" x14ac:dyDescent="0.2">
      <c r="F503" s="31"/>
      <c r="G503" s="31"/>
      <c r="H503" s="31"/>
    </row>
    <row r="504" spans="6:8" ht="12.75" customHeight="1" x14ac:dyDescent="0.2">
      <c r="F504" s="31"/>
      <c r="G504" s="31"/>
      <c r="H504" s="31"/>
    </row>
    <row r="505" spans="6:8" ht="12.75" customHeight="1" x14ac:dyDescent="0.2">
      <c r="F505" s="31"/>
      <c r="G505" s="31"/>
      <c r="H505" s="31"/>
    </row>
    <row r="506" spans="6:8" ht="12.75" customHeight="1" x14ac:dyDescent="0.2">
      <c r="F506" s="31"/>
      <c r="G506" s="31"/>
      <c r="H506" s="31"/>
    </row>
    <row r="507" spans="6:8" ht="12.75" customHeight="1" x14ac:dyDescent="0.2">
      <c r="F507" s="31"/>
      <c r="G507" s="31"/>
      <c r="H507" s="31"/>
    </row>
    <row r="508" spans="6:8" ht="12.75" customHeight="1" x14ac:dyDescent="0.2">
      <c r="F508" s="31"/>
      <c r="G508" s="31"/>
      <c r="H508" s="31"/>
    </row>
    <row r="509" spans="6:8" ht="12.75" customHeight="1" x14ac:dyDescent="0.2">
      <c r="F509" s="31"/>
      <c r="G509" s="31"/>
      <c r="H509" s="31"/>
    </row>
    <row r="510" spans="6:8" ht="12.75" customHeight="1" x14ac:dyDescent="0.2">
      <c r="F510" s="31"/>
      <c r="G510" s="31"/>
      <c r="H510" s="31"/>
    </row>
    <row r="511" spans="6:8" ht="12.75" customHeight="1" x14ac:dyDescent="0.2">
      <c r="F511" s="31"/>
      <c r="G511" s="31"/>
      <c r="H511" s="31"/>
    </row>
    <row r="512" spans="6:8" ht="12.75" customHeight="1" x14ac:dyDescent="0.2">
      <c r="F512" s="31"/>
      <c r="G512" s="31"/>
      <c r="H512" s="31"/>
    </row>
    <row r="513" spans="6:8" ht="12.75" customHeight="1" x14ac:dyDescent="0.2">
      <c r="F513" s="31"/>
      <c r="G513" s="31"/>
      <c r="H513" s="31"/>
    </row>
    <row r="514" spans="6:8" ht="12.75" customHeight="1" x14ac:dyDescent="0.2">
      <c r="F514" s="31"/>
      <c r="G514" s="31"/>
      <c r="H514" s="31"/>
    </row>
    <row r="515" spans="6:8" ht="12.75" customHeight="1" x14ac:dyDescent="0.2">
      <c r="F515" s="31"/>
      <c r="G515" s="31"/>
      <c r="H515" s="31"/>
    </row>
    <row r="516" spans="6:8" ht="12.75" customHeight="1" x14ac:dyDescent="0.2">
      <c r="F516" s="31"/>
      <c r="G516" s="31"/>
      <c r="H516" s="31"/>
    </row>
    <row r="517" spans="6:8" ht="12.75" customHeight="1" x14ac:dyDescent="0.2">
      <c r="F517" s="31"/>
      <c r="G517" s="31"/>
      <c r="H517" s="31"/>
    </row>
    <row r="518" spans="6:8" ht="12.75" customHeight="1" x14ac:dyDescent="0.2">
      <c r="F518" s="31"/>
      <c r="G518" s="31"/>
      <c r="H518" s="31"/>
    </row>
    <row r="519" spans="6:8" ht="12.75" customHeight="1" x14ac:dyDescent="0.2">
      <c r="F519" s="31"/>
      <c r="G519" s="31"/>
      <c r="H519" s="31"/>
    </row>
    <row r="520" spans="6:8" ht="12.75" customHeight="1" x14ac:dyDescent="0.2">
      <c r="F520" s="31"/>
      <c r="G520" s="31"/>
      <c r="H520" s="31"/>
    </row>
    <row r="521" spans="6:8" ht="12.75" customHeight="1" x14ac:dyDescent="0.2">
      <c r="F521" s="31"/>
      <c r="G521" s="31"/>
      <c r="H521" s="31"/>
    </row>
    <row r="522" spans="6:8" ht="12.75" customHeight="1" x14ac:dyDescent="0.2">
      <c r="F522" s="31"/>
      <c r="G522" s="31"/>
      <c r="H522" s="31"/>
    </row>
    <row r="523" spans="6:8" ht="12.75" customHeight="1" x14ac:dyDescent="0.2">
      <c r="F523" s="31"/>
      <c r="G523" s="31"/>
      <c r="H523" s="31"/>
    </row>
    <row r="524" spans="6:8" ht="12.75" customHeight="1" x14ac:dyDescent="0.2">
      <c r="F524" s="31"/>
      <c r="G524" s="31"/>
      <c r="H524" s="31"/>
    </row>
    <row r="525" spans="6:8" ht="12.75" customHeight="1" x14ac:dyDescent="0.2">
      <c r="F525" s="31"/>
      <c r="G525" s="31"/>
      <c r="H525" s="31"/>
    </row>
    <row r="526" spans="6:8" ht="12.75" customHeight="1" x14ac:dyDescent="0.2">
      <c r="F526" s="31"/>
      <c r="G526" s="31"/>
      <c r="H526" s="31"/>
    </row>
    <row r="527" spans="6:8" ht="12.75" customHeight="1" x14ac:dyDescent="0.2">
      <c r="F527" s="31"/>
      <c r="G527" s="31"/>
      <c r="H527" s="31"/>
    </row>
    <row r="528" spans="6:8" ht="12.75" customHeight="1" x14ac:dyDescent="0.2">
      <c r="F528" s="31"/>
      <c r="G528" s="31"/>
      <c r="H528" s="31"/>
    </row>
    <row r="529" spans="6:8" ht="12.75" customHeight="1" x14ac:dyDescent="0.2">
      <c r="F529" s="31"/>
      <c r="G529" s="31"/>
      <c r="H529" s="31"/>
    </row>
    <row r="530" spans="6:8" ht="12.75" customHeight="1" x14ac:dyDescent="0.2">
      <c r="F530" s="31"/>
      <c r="G530" s="31"/>
      <c r="H530" s="31"/>
    </row>
    <row r="531" spans="6:8" ht="12.75" customHeight="1" x14ac:dyDescent="0.2">
      <c r="F531" s="31"/>
      <c r="G531" s="31"/>
      <c r="H531" s="31"/>
    </row>
    <row r="532" spans="6:8" ht="12.75" customHeight="1" x14ac:dyDescent="0.2">
      <c r="F532" s="31"/>
      <c r="G532" s="31"/>
      <c r="H532" s="31"/>
    </row>
    <row r="533" spans="6:8" ht="12.75" customHeight="1" x14ac:dyDescent="0.2">
      <c r="F533" s="31"/>
      <c r="G533" s="31"/>
      <c r="H533" s="31"/>
    </row>
    <row r="534" spans="6:8" ht="12.75" customHeight="1" x14ac:dyDescent="0.2">
      <c r="F534" s="31"/>
      <c r="G534" s="31"/>
      <c r="H534" s="31"/>
    </row>
    <row r="535" spans="6:8" ht="12.75" customHeight="1" x14ac:dyDescent="0.2">
      <c r="F535" s="31"/>
      <c r="G535" s="31"/>
      <c r="H535" s="31"/>
    </row>
    <row r="536" spans="6:8" ht="12.75" customHeight="1" x14ac:dyDescent="0.2">
      <c r="F536" s="31"/>
      <c r="G536" s="31"/>
      <c r="H536" s="31"/>
    </row>
    <row r="537" spans="6:8" ht="12.75" customHeight="1" x14ac:dyDescent="0.2">
      <c r="F537" s="31"/>
      <c r="G537" s="31"/>
      <c r="H537" s="31"/>
    </row>
    <row r="538" spans="6:8" ht="12.75" customHeight="1" x14ac:dyDescent="0.2">
      <c r="F538" s="31"/>
      <c r="G538" s="31"/>
      <c r="H538" s="31"/>
    </row>
    <row r="539" spans="6:8" ht="12.75" customHeight="1" x14ac:dyDescent="0.2">
      <c r="F539" s="31"/>
      <c r="G539" s="31"/>
      <c r="H539" s="31"/>
    </row>
    <row r="540" spans="6:8" ht="12.75" customHeight="1" x14ac:dyDescent="0.2">
      <c r="F540" s="31"/>
      <c r="G540" s="31"/>
      <c r="H540" s="31"/>
    </row>
    <row r="541" spans="6:8" ht="12.75" customHeight="1" x14ac:dyDescent="0.2">
      <c r="F541" s="31"/>
      <c r="G541" s="31"/>
      <c r="H541" s="31"/>
    </row>
    <row r="542" spans="6:8" ht="12.75" customHeight="1" x14ac:dyDescent="0.2">
      <c r="F542" s="31"/>
      <c r="G542" s="31"/>
      <c r="H542" s="31"/>
    </row>
    <row r="543" spans="6:8" ht="12.75" customHeight="1" x14ac:dyDescent="0.2">
      <c r="F543" s="31"/>
      <c r="G543" s="31"/>
      <c r="H543" s="31"/>
    </row>
    <row r="544" spans="6:8" ht="12.75" customHeight="1" x14ac:dyDescent="0.2">
      <c r="F544" s="31"/>
      <c r="G544" s="31"/>
      <c r="H544" s="31"/>
    </row>
    <row r="545" spans="6:8" ht="12.75" customHeight="1" x14ac:dyDescent="0.2">
      <c r="F545" s="31"/>
      <c r="G545" s="31"/>
      <c r="H545" s="31"/>
    </row>
    <row r="546" spans="6:8" ht="12.75" customHeight="1" x14ac:dyDescent="0.2">
      <c r="F546" s="31"/>
      <c r="G546" s="31"/>
      <c r="H546" s="31"/>
    </row>
    <row r="547" spans="6:8" ht="12.75" customHeight="1" x14ac:dyDescent="0.2">
      <c r="F547" s="31"/>
      <c r="G547" s="31"/>
      <c r="H547" s="31"/>
    </row>
    <row r="548" spans="6:8" ht="12.75" customHeight="1" x14ac:dyDescent="0.2">
      <c r="F548" s="31"/>
      <c r="G548" s="31"/>
      <c r="H548" s="31"/>
    </row>
    <row r="549" spans="6:8" ht="12.75" customHeight="1" x14ac:dyDescent="0.2">
      <c r="F549" s="31"/>
      <c r="G549" s="31"/>
      <c r="H549" s="31"/>
    </row>
    <row r="550" spans="6:8" ht="12.75" customHeight="1" x14ac:dyDescent="0.2">
      <c r="F550" s="31"/>
      <c r="G550" s="31"/>
      <c r="H550" s="31"/>
    </row>
    <row r="551" spans="6:8" ht="12.75" customHeight="1" x14ac:dyDescent="0.2">
      <c r="F551" s="31"/>
      <c r="G551" s="31"/>
      <c r="H551" s="31"/>
    </row>
    <row r="552" spans="6:8" ht="12.75" customHeight="1" x14ac:dyDescent="0.2">
      <c r="F552" s="31"/>
      <c r="G552" s="31"/>
      <c r="H552" s="31"/>
    </row>
    <row r="553" spans="6:8" ht="12.75" customHeight="1" x14ac:dyDescent="0.2">
      <c r="F553" s="31"/>
      <c r="G553" s="31"/>
      <c r="H553" s="31"/>
    </row>
    <row r="554" spans="6:8" ht="12.75" customHeight="1" x14ac:dyDescent="0.2">
      <c r="F554" s="31"/>
      <c r="G554" s="31"/>
      <c r="H554" s="31"/>
    </row>
    <row r="555" spans="6:8" ht="12.75" customHeight="1" x14ac:dyDescent="0.2">
      <c r="F555" s="31"/>
      <c r="G555" s="31"/>
      <c r="H555" s="31"/>
    </row>
    <row r="556" spans="6:8" ht="12.75" customHeight="1" x14ac:dyDescent="0.2">
      <c r="F556" s="31"/>
      <c r="G556" s="31"/>
      <c r="H556" s="31"/>
    </row>
    <row r="557" spans="6:8" ht="12.75" customHeight="1" x14ac:dyDescent="0.2">
      <c r="F557" s="31"/>
      <c r="G557" s="31"/>
      <c r="H557" s="31"/>
    </row>
    <row r="558" spans="6:8" ht="12.75" customHeight="1" x14ac:dyDescent="0.2">
      <c r="F558" s="31"/>
      <c r="G558" s="31"/>
      <c r="H558" s="31"/>
    </row>
    <row r="559" spans="6:8" ht="12.75" customHeight="1" x14ac:dyDescent="0.2">
      <c r="F559" s="31"/>
      <c r="G559" s="31"/>
      <c r="H559" s="31"/>
    </row>
    <row r="560" spans="6:8" ht="12.75" customHeight="1" x14ac:dyDescent="0.2">
      <c r="F560" s="31"/>
      <c r="G560" s="31"/>
      <c r="H560" s="31"/>
    </row>
    <row r="561" spans="6:8" ht="12.75" customHeight="1" x14ac:dyDescent="0.2">
      <c r="F561" s="31"/>
      <c r="G561" s="31"/>
      <c r="H561" s="31"/>
    </row>
    <row r="562" spans="6:8" ht="12.75" customHeight="1" x14ac:dyDescent="0.2">
      <c r="F562" s="31"/>
      <c r="G562" s="31"/>
      <c r="H562" s="31"/>
    </row>
    <row r="563" spans="6:8" ht="12.75" customHeight="1" x14ac:dyDescent="0.2">
      <c r="F563" s="31"/>
      <c r="G563" s="31"/>
      <c r="H563" s="31"/>
    </row>
    <row r="564" spans="6:8" ht="12.75" customHeight="1" x14ac:dyDescent="0.2">
      <c r="F564" s="31"/>
      <c r="G564" s="31"/>
      <c r="H564" s="31"/>
    </row>
    <row r="565" spans="6:8" ht="12.75" customHeight="1" x14ac:dyDescent="0.2">
      <c r="F565" s="31"/>
      <c r="G565" s="31"/>
      <c r="H565" s="31"/>
    </row>
    <row r="566" spans="6:8" ht="12.75" customHeight="1" x14ac:dyDescent="0.2">
      <c r="F566" s="31"/>
      <c r="G566" s="31"/>
      <c r="H566" s="31"/>
    </row>
    <row r="567" spans="6:8" ht="12.75" customHeight="1" x14ac:dyDescent="0.2">
      <c r="F567" s="31"/>
      <c r="G567" s="31"/>
      <c r="H567" s="31"/>
    </row>
    <row r="568" spans="6:8" ht="12.75" customHeight="1" x14ac:dyDescent="0.2">
      <c r="F568" s="31"/>
      <c r="G568" s="31"/>
      <c r="H568" s="31"/>
    </row>
    <row r="569" spans="6:8" ht="12.75" customHeight="1" x14ac:dyDescent="0.2">
      <c r="F569" s="31"/>
      <c r="G569" s="31"/>
      <c r="H569" s="31"/>
    </row>
    <row r="570" spans="6:8" ht="12.75" customHeight="1" x14ac:dyDescent="0.2">
      <c r="F570" s="31"/>
      <c r="G570" s="31"/>
      <c r="H570" s="31"/>
    </row>
    <row r="571" spans="6:8" ht="12.75" customHeight="1" x14ac:dyDescent="0.2">
      <c r="F571" s="31"/>
      <c r="G571" s="31"/>
      <c r="H571" s="31"/>
    </row>
    <row r="572" spans="6:8" ht="12.75" customHeight="1" x14ac:dyDescent="0.2">
      <c r="F572" s="31"/>
      <c r="G572" s="31"/>
      <c r="H572" s="31"/>
    </row>
    <row r="573" spans="6:8" ht="12.75" customHeight="1" x14ac:dyDescent="0.2">
      <c r="F573" s="31"/>
      <c r="G573" s="31"/>
      <c r="H573" s="31"/>
    </row>
    <row r="574" spans="6:8" ht="12.75" customHeight="1" x14ac:dyDescent="0.2">
      <c r="F574" s="31"/>
      <c r="G574" s="31"/>
      <c r="H574" s="31"/>
    </row>
    <row r="575" spans="6:8" ht="12.75" customHeight="1" x14ac:dyDescent="0.2">
      <c r="F575" s="31"/>
      <c r="G575" s="31"/>
      <c r="H575" s="31"/>
    </row>
    <row r="576" spans="6:8" ht="12.75" customHeight="1" x14ac:dyDescent="0.2">
      <c r="F576" s="31"/>
      <c r="G576" s="31"/>
      <c r="H576" s="31"/>
    </row>
    <row r="577" spans="6:8" ht="12.75" customHeight="1" x14ac:dyDescent="0.2">
      <c r="F577" s="31"/>
      <c r="G577" s="31"/>
      <c r="H577" s="31"/>
    </row>
    <row r="578" spans="6:8" ht="12.75" customHeight="1" x14ac:dyDescent="0.2">
      <c r="F578" s="31"/>
      <c r="G578" s="31"/>
      <c r="H578" s="31"/>
    </row>
    <row r="579" spans="6:8" ht="12.75" customHeight="1" x14ac:dyDescent="0.2">
      <c r="F579" s="31"/>
      <c r="G579" s="31"/>
      <c r="H579" s="31"/>
    </row>
    <row r="580" spans="6:8" ht="12.75" customHeight="1" x14ac:dyDescent="0.2">
      <c r="F580" s="31"/>
      <c r="G580" s="31"/>
      <c r="H580" s="31"/>
    </row>
    <row r="581" spans="6:8" ht="12.75" customHeight="1" x14ac:dyDescent="0.2">
      <c r="F581" s="31"/>
      <c r="G581" s="31"/>
      <c r="H581" s="31"/>
    </row>
    <row r="582" spans="6:8" ht="12.75" customHeight="1" x14ac:dyDescent="0.2">
      <c r="F582" s="31"/>
      <c r="G582" s="31"/>
      <c r="H582" s="31"/>
    </row>
    <row r="583" spans="6:8" ht="12.75" customHeight="1" x14ac:dyDescent="0.2">
      <c r="F583" s="31"/>
      <c r="G583" s="31"/>
      <c r="H583" s="31"/>
    </row>
    <row r="584" spans="6:8" ht="12.75" customHeight="1" x14ac:dyDescent="0.2">
      <c r="F584" s="31"/>
      <c r="G584" s="31"/>
      <c r="H584" s="31"/>
    </row>
    <row r="585" spans="6:8" ht="12.75" customHeight="1" x14ac:dyDescent="0.2">
      <c r="F585" s="31"/>
      <c r="G585" s="31"/>
      <c r="H585" s="31"/>
    </row>
    <row r="586" spans="6:8" ht="12.75" customHeight="1" x14ac:dyDescent="0.2">
      <c r="F586" s="31"/>
      <c r="G586" s="31"/>
      <c r="H586" s="31"/>
    </row>
    <row r="587" spans="6:8" ht="12.75" customHeight="1" x14ac:dyDescent="0.2">
      <c r="F587" s="31"/>
      <c r="G587" s="31"/>
      <c r="H587" s="31"/>
    </row>
    <row r="588" spans="6:8" ht="12.75" customHeight="1" x14ac:dyDescent="0.2">
      <c r="F588" s="31"/>
      <c r="G588" s="31"/>
      <c r="H588" s="31"/>
    </row>
    <row r="589" spans="6:8" ht="12.75" customHeight="1" x14ac:dyDescent="0.2">
      <c r="F589" s="31"/>
      <c r="G589" s="31"/>
      <c r="H589" s="31"/>
    </row>
    <row r="590" spans="6:8" ht="12.75" customHeight="1" x14ac:dyDescent="0.2">
      <c r="F590" s="31"/>
      <c r="G590" s="31"/>
      <c r="H590" s="31"/>
    </row>
    <row r="591" spans="6:8" ht="12.75" customHeight="1" x14ac:dyDescent="0.2">
      <c r="F591" s="31"/>
      <c r="G591" s="31"/>
      <c r="H591" s="31"/>
    </row>
    <row r="592" spans="6:8" ht="12.75" customHeight="1" x14ac:dyDescent="0.2">
      <c r="F592" s="31"/>
      <c r="G592" s="31"/>
      <c r="H592" s="31"/>
    </row>
    <row r="593" spans="6:8" ht="12.75" customHeight="1" x14ac:dyDescent="0.2">
      <c r="F593" s="31"/>
      <c r="G593" s="31"/>
      <c r="H593" s="31"/>
    </row>
    <row r="594" spans="6:8" ht="12.75" customHeight="1" x14ac:dyDescent="0.2">
      <c r="F594" s="31"/>
      <c r="G594" s="31"/>
      <c r="H594" s="31"/>
    </row>
    <row r="595" spans="6:8" ht="12.75" customHeight="1" x14ac:dyDescent="0.2">
      <c r="F595" s="31"/>
      <c r="G595" s="31"/>
      <c r="H595" s="31"/>
    </row>
    <row r="596" spans="6:8" ht="12.75" customHeight="1" x14ac:dyDescent="0.2">
      <c r="F596" s="31"/>
      <c r="G596" s="31"/>
      <c r="H596" s="31"/>
    </row>
    <row r="597" spans="6:8" ht="12.75" customHeight="1" x14ac:dyDescent="0.2">
      <c r="F597" s="31"/>
      <c r="G597" s="31"/>
      <c r="H597" s="31"/>
    </row>
    <row r="598" spans="6:8" ht="12.75" customHeight="1" x14ac:dyDescent="0.2">
      <c r="F598" s="31"/>
      <c r="G598" s="31"/>
      <c r="H598" s="31"/>
    </row>
    <row r="599" spans="6:8" ht="12.75" customHeight="1" x14ac:dyDescent="0.2">
      <c r="F599" s="31"/>
      <c r="G599" s="31"/>
      <c r="H599" s="31"/>
    </row>
    <row r="600" spans="6:8" ht="12.75" customHeight="1" x14ac:dyDescent="0.2">
      <c r="F600" s="31"/>
      <c r="G600" s="31"/>
      <c r="H600" s="31"/>
    </row>
    <row r="601" spans="6:8" ht="12.75" customHeight="1" x14ac:dyDescent="0.2">
      <c r="F601" s="31"/>
      <c r="G601" s="31"/>
      <c r="H601" s="31"/>
    </row>
    <row r="602" spans="6:8" ht="12.75" customHeight="1" x14ac:dyDescent="0.2">
      <c r="F602" s="31"/>
      <c r="G602" s="31"/>
      <c r="H602" s="31"/>
    </row>
    <row r="603" spans="6:8" ht="12.75" customHeight="1" x14ac:dyDescent="0.2">
      <c r="F603" s="31"/>
      <c r="G603" s="31"/>
      <c r="H603" s="31"/>
    </row>
    <row r="604" spans="6:8" ht="12.75" customHeight="1" x14ac:dyDescent="0.2">
      <c r="F604" s="31"/>
      <c r="G604" s="31"/>
      <c r="H604" s="31"/>
    </row>
    <row r="605" spans="6:8" ht="12.75" customHeight="1" x14ac:dyDescent="0.2">
      <c r="F605" s="31"/>
      <c r="G605" s="31"/>
      <c r="H605" s="31"/>
    </row>
    <row r="606" spans="6:8" ht="12.75" customHeight="1" x14ac:dyDescent="0.2">
      <c r="F606" s="31"/>
      <c r="G606" s="31"/>
      <c r="H606" s="31"/>
    </row>
    <row r="607" spans="6:8" ht="12.75" customHeight="1" x14ac:dyDescent="0.2">
      <c r="F607" s="31"/>
      <c r="G607" s="31"/>
      <c r="H607" s="31"/>
    </row>
    <row r="608" spans="6:8" ht="12.75" customHeight="1" x14ac:dyDescent="0.2">
      <c r="F608" s="31"/>
      <c r="G608" s="31"/>
      <c r="H608" s="31"/>
    </row>
    <row r="609" spans="6:8" ht="12.75" customHeight="1" x14ac:dyDescent="0.2">
      <c r="F609" s="31"/>
      <c r="G609" s="31"/>
      <c r="H609" s="31"/>
    </row>
    <row r="610" spans="6:8" ht="12.75" customHeight="1" x14ac:dyDescent="0.2">
      <c r="F610" s="31"/>
      <c r="G610" s="31"/>
      <c r="H610" s="31"/>
    </row>
    <row r="611" spans="6:8" ht="12.75" customHeight="1" x14ac:dyDescent="0.2">
      <c r="F611" s="31"/>
      <c r="G611" s="31"/>
      <c r="H611" s="31"/>
    </row>
    <row r="612" spans="6:8" ht="12.75" customHeight="1" x14ac:dyDescent="0.2">
      <c r="F612" s="31"/>
      <c r="G612" s="31"/>
      <c r="H612" s="31"/>
    </row>
    <row r="613" spans="6:8" ht="12.75" customHeight="1" x14ac:dyDescent="0.2">
      <c r="F613" s="31"/>
      <c r="G613" s="31"/>
      <c r="H613" s="31"/>
    </row>
    <row r="614" spans="6:8" ht="12.75" customHeight="1" x14ac:dyDescent="0.2">
      <c r="F614" s="31"/>
      <c r="G614" s="31"/>
      <c r="H614" s="31"/>
    </row>
    <row r="615" spans="6:8" ht="12.75" customHeight="1" x14ac:dyDescent="0.2">
      <c r="F615" s="31"/>
      <c r="G615" s="31"/>
      <c r="H615" s="31"/>
    </row>
    <row r="616" spans="6:8" ht="12.75" customHeight="1" x14ac:dyDescent="0.2">
      <c r="F616" s="31"/>
      <c r="G616" s="31"/>
      <c r="H616" s="31"/>
    </row>
    <row r="617" spans="6:8" ht="12.75" customHeight="1" x14ac:dyDescent="0.2">
      <c r="F617" s="31"/>
      <c r="G617" s="31"/>
      <c r="H617" s="31"/>
    </row>
    <row r="618" spans="6:8" ht="12.75" customHeight="1" x14ac:dyDescent="0.2">
      <c r="F618" s="31"/>
      <c r="G618" s="31"/>
      <c r="H618" s="31"/>
    </row>
    <row r="619" spans="6:8" ht="12.75" customHeight="1" x14ac:dyDescent="0.2">
      <c r="F619" s="31"/>
      <c r="G619" s="31"/>
      <c r="H619" s="31"/>
    </row>
    <row r="620" spans="6:8" ht="12.75" customHeight="1" x14ac:dyDescent="0.2">
      <c r="F620" s="31"/>
      <c r="G620" s="31"/>
      <c r="H620" s="31"/>
    </row>
    <row r="621" spans="6:8" ht="12.75" customHeight="1" x14ac:dyDescent="0.2">
      <c r="F621" s="31"/>
      <c r="G621" s="31"/>
      <c r="H621" s="31"/>
    </row>
    <row r="622" spans="6:8" ht="12.75" customHeight="1" x14ac:dyDescent="0.2">
      <c r="F622" s="31"/>
      <c r="G622" s="31"/>
      <c r="H622" s="31"/>
    </row>
    <row r="623" spans="6:8" ht="12.75" customHeight="1" x14ac:dyDescent="0.2">
      <c r="F623" s="31"/>
      <c r="G623" s="31"/>
      <c r="H623" s="31"/>
    </row>
    <row r="624" spans="6:8" ht="12.75" customHeight="1" x14ac:dyDescent="0.2">
      <c r="F624" s="31"/>
      <c r="G624" s="31"/>
      <c r="H624" s="31"/>
    </row>
    <row r="625" spans="6:8" ht="12.75" customHeight="1" x14ac:dyDescent="0.2">
      <c r="F625" s="31"/>
      <c r="G625" s="31"/>
      <c r="H625" s="31"/>
    </row>
    <row r="626" spans="6:8" ht="12.75" customHeight="1" x14ac:dyDescent="0.2">
      <c r="F626" s="31"/>
      <c r="G626" s="31"/>
      <c r="H626" s="31"/>
    </row>
    <row r="627" spans="6:8" ht="12.75" customHeight="1" x14ac:dyDescent="0.2">
      <c r="F627" s="31"/>
      <c r="G627" s="31"/>
      <c r="H627" s="31"/>
    </row>
    <row r="628" spans="6:8" ht="12.75" customHeight="1" x14ac:dyDescent="0.2">
      <c r="F628" s="31"/>
      <c r="G628" s="31"/>
      <c r="H628" s="31"/>
    </row>
    <row r="629" spans="6:8" ht="12.75" customHeight="1" x14ac:dyDescent="0.2">
      <c r="F629" s="31"/>
      <c r="G629" s="31"/>
      <c r="H629" s="31"/>
    </row>
    <row r="630" spans="6:8" ht="12.75" customHeight="1" x14ac:dyDescent="0.2">
      <c r="F630" s="31"/>
      <c r="G630" s="31"/>
      <c r="H630" s="31"/>
    </row>
    <row r="631" spans="6:8" ht="12.75" customHeight="1" x14ac:dyDescent="0.2">
      <c r="F631" s="31"/>
      <c r="G631" s="31"/>
      <c r="H631" s="31"/>
    </row>
    <row r="632" spans="6:8" ht="12.75" customHeight="1" x14ac:dyDescent="0.2">
      <c r="F632" s="31"/>
      <c r="G632" s="31"/>
      <c r="H632" s="31"/>
    </row>
    <row r="633" spans="6:8" ht="12.75" customHeight="1" x14ac:dyDescent="0.2">
      <c r="F633" s="31"/>
      <c r="G633" s="31"/>
      <c r="H633" s="31"/>
    </row>
    <row r="634" spans="6:8" ht="12.75" customHeight="1" x14ac:dyDescent="0.2">
      <c r="F634" s="31"/>
      <c r="G634" s="31"/>
      <c r="H634" s="31"/>
    </row>
    <row r="635" spans="6:8" ht="12.75" customHeight="1" x14ac:dyDescent="0.2">
      <c r="F635" s="31"/>
      <c r="G635" s="31"/>
      <c r="H635" s="31"/>
    </row>
    <row r="636" spans="6:8" ht="12.75" customHeight="1" x14ac:dyDescent="0.2">
      <c r="F636" s="31"/>
      <c r="G636" s="31"/>
      <c r="H636" s="31"/>
    </row>
    <row r="637" spans="6:8" ht="12.75" customHeight="1" x14ac:dyDescent="0.2">
      <c r="F637" s="31"/>
      <c r="G637" s="31"/>
      <c r="H637" s="31"/>
    </row>
    <row r="638" spans="6:8" ht="12.75" customHeight="1" x14ac:dyDescent="0.2">
      <c r="F638" s="31"/>
      <c r="G638" s="31"/>
      <c r="H638" s="31"/>
    </row>
    <row r="639" spans="6:8" ht="12.75" customHeight="1" x14ac:dyDescent="0.2">
      <c r="F639" s="31"/>
      <c r="G639" s="31"/>
      <c r="H639" s="31"/>
    </row>
    <row r="640" spans="6:8" ht="12.75" customHeight="1" x14ac:dyDescent="0.2">
      <c r="F640" s="31"/>
      <c r="G640" s="31"/>
      <c r="H640" s="31"/>
    </row>
    <row r="641" spans="6:8" ht="12.75" customHeight="1" x14ac:dyDescent="0.2">
      <c r="F641" s="31"/>
      <c r="G641" s="31"/>
      <c r="H641" s="31"/>
    </row>
    <row r="642" spans="6:8" ht="12.75" customHeight="1" x14ac:dyDescent="0.2">
      <c r="F642" s="31"/>
      <c r="G642" s="31"/>
      <c r="H642" s="31"/>
    </row>
    <row r="643" spans="6:8" ht="12.75" customHeight="1" x14ac:dyDescent="0.2">
      <c r="F643" s="31"/>
      <c r="G643" s="31"/>
      <c r="H643" s="31"/>
    </row>
    <row r="644" spans="6:8" ht="12.75" customHeight="1" x14ac:dyDescent="0.2">
      <c r="F644" s="31"/>
      <c r="G644" s="31"/>
      <c r="H644" s="31"/>
    </row>
    <row r="645" spans="6:8" ht="12.75" customHeight="1" x14ac:dyDescent="0.2">
      <c r="F645" s="31"/>
      <c r="G645" s="31"/>
      <c r="H645" s="31"/>
    </row>
    <row r="646" spans="6:8" ht="12.75" customHeight="1" x14ac:dyDescent="0.2">
      <c r="F646" s="31"/>
      <c r="G646" s="31"/>
      <c r="H646" s="31"/>
    </row>
    <row r="647" spans="6:8" ht="12.75" customHeight="1" x14ac:dyDescent="0.2">
      <c r="F647" s="31"/>
      <c r="G647" s="31"/>
      <c r="H647" s="31"/>
    </row>
    <row r="648" spans="6:8" ht="12.75" customHeight="1" x14ac:dyDescent="0.2">
      <c r="F648" s="31"/>
      <c r="G648" s="31"/>
      <c r="H648" s="31"/>
    </row>
    <row r="649" spans="6:8" ht="12.75" customHeight="1" x14ac:dyDescent="0.2">
      <c r="F649" s="31"/>
      <c r="G649" s="31"/>
      <c r="H649" s="31"/>
    </row>
    <row r="650" spans="6:8" ht="12.75" customHeight="1" x14ac:dyDescent="0.2">
      <c r="F650" s="31"/>
      <c r="G650" s="31"/>
      <c r="H650" s="31"/>
    </row>
    <row r="651" spans="6:8" ht="12.75" customHeight="1" x14ac:dyDescent="0.2">
      <c r="F651" s="31"/>
      <c r="G651" s="31"/>
      <c r="H651" s="31"/>
    </row>
    <row r="652" spans="6:8" ht="12.75" customHeight="1" x14ac:dyDescent="0.2">
      <c r="F652" s="31"/>
      <c r="G652" s="31"/>
      <c r="H652" s="31"/>
    </row>
    <row r="653" spans="6:8" ht="12.75" customHeight="1" x14ac:dyDescent="0.2">
      <c r="F653" s="31"/>
      <c r="G653" s="31"/>
      <c r="H653" s="31"/>
    </row>
    <row r="654" spans="6:8" ht="12.75" customHeight="1" x14ac:dyDescent="0.2">
      <c r="F654" s="31"/>
      <c r="G654" s="31"/>
      <c r="H654" s="31"/>
    </row>
    <row r="655" spans="6:8" ht="12.75" customHeight="1" x14ac:dyDescent="0.2">
      <c r="F655" s="31"/>
      <c r="G655" s="31"/>
      <c r="H655" s="31"/>
    </row>
    <row r="656" spans="6:8" ht="12.75" customHeight="1" x14ac:dyDescent="0.2">
      <c r="F656" s="31"/>
      <c r="G656" s="31"/>
      <c r="H656" s="31"/>
    </row>
    <row r="657" spans="6:8" ht="12.75" customHeight="1" x14ac:dyDescent="0.2">
      <c r="F657" s="31"/>
      <c r="G657" s="31"/>
      <c r="H657" s="31"/>
    </row>
    <row r="658" spans="6:8" ht="12.75" customHeight="1" x14ac:dyDescent="0.2">
      <c r="F658" s="31"/>
      <c r="G658" s="31"/>
      <c r="H658" s="31"/>
    </row>
    <row r="659" spans="6:8" ht="12.75" customHeight="1" x14ac:dyDescent="0.2">
      <c r="F659" s="31"/>
      <c r="G659" s="31"/>
      <c r="H659" s="31"/>
    </row>
    <row r="660" spans="6:8" ht="12.75" customHeight="1" x14ac:dyDescent="0.2">
      <c r="F660" s="31"/>
      <c r="G660" s="31"/>
      <c r="H660" s="31"/>
    </row>
    <row r="661" spans="6:8" ht="12.75" customHeight="1" x14ac:dyDescent="0.2">
      <c r="F661" s="31"/>
      <c r="G661" s="31"/>
      <c r="H661" s="31"/>
    </row>
    <row r="662" spans="6:8" ht="12.75" customHeight="1" x14ac:dyDescent="0.2">
      <c r="F662" s="31"/>
      <c r="G662" s="31"/>
      <c r="H662" s="31"/>
    </row>
    <row r="663" spans="6:8" ht="12.75" customHeight="1" x14ac:dyDescent="0.2">
      <c r="F663" s="31"/>
      <c r="G663" s="31"/>
      <c r="H663" s="31"/>
    </row>
    <row r="664" spans="6:8" ht="12.75" customHeight="1" x14ac:dyDescent="0.2">
      <c r="F664" s="31"/>
      <c r="G664" s="31"/>
      <c r="H664" s="31"/>
    </row>
    <row r="665" spans="6:8" ht="12.75" customHeight="1" x14ac:dyDescent="0.2">
      <c r="F665" s="31"/>
      <c r="G665" s="31"/>
      <c r="H665" s="31"/>
    </row>
    <row r="666" spans="6:8" ht="12.75" customHeight="1" x14ac:dyDescent="0.2">
      <c r="F666" s="31"/>
      <c r="G666" s="31"/>
      <c r="H666" s="31"/>
    </row>
    <row r="667" spans="6:8" ht="12.75" customHeight="1" x14ac:dyDescent="0.2">
      <c r="F667" s="31"/>
      <c r="G667" s="31"/>
      <c r="H667" s="31"/>
    </row>
    <row r="668" spans="6:8" ht="12.75" customHeight="1" x14ac:dyDescent="0.2">
      <c r="F668" s="31"/>
      <c r="G668" s="31"/>
      <c r="H668" s="31"/>
    </row>
    <row r="669" spans="6:8" ht="12.75" customHeight="1" x14ac:dyDescent="0.2">
      <c r="F669" s="31"/>
      <c r="G669" s="31"/>
      <c r="H669" s="31"/>
    </row>
    <row r="670" spans="6:8" ht="12.75" customHeight="1" x14ac:dyDescent="0.2">
      <c r="F670" s="31"/>
      <c r="G670" s="31"/>
      <c r="H670" s="31"/>
    </row>
    <row r="671" spans="6:8" ht="12.75" customHeight="1" x14ac:dyDescent="0.2">
      <c r="F671" s="31"/>
      <c r="G671" s="31"/>
      <c r="H671" s="31"/>
    </row>
    <row r="672" spans="6:8" ht="12.75" customHeight="1" x14ac:dyDescent="0.2">
      <c r="F672" s="31"/>
      <c r="G672" s="31"/>
      <c r="H672" s="31"/>
    </row>
    <row r="673" spans="6:8" ht="12.75" customHeight="1" x14ac:dyDescent="0.2">
      <c r="F673" s="31"/>
      <c r="G673" s="31"/>
      <c r="H673" s="31"/>
    </row>
    <row r="674" spans="6:8" ht="12.75" customHeight="1" x14ac:dyDescent="0.2">
      <c r="F674" s="31"/>
      <c r="G674" s="31"/>
      <c r="H674" s="31"/>
    </row>
    <row r="675" spans="6:8" ht="12.75" customHeight="1" x14ac:dyDescent="0.2">
      <c r="F675" s="31"/>
      <c r="G675" s="31"/>
      <c r="H675" s="31"/>
    </row>
    <row r="676" spans="6:8" ht="12.75" customHeight="1" x14ac:dyDescent="0.2">
      <c r="F676" s="31"/>
      <c r="G676" s="31"/>
      <c r="H676" s="31"/>
    </row>
    <row r="677" spans="6:8" ht="12.75" customHeight="1" x14ac:dyDescent="0.2">
      <c r="F677" s="31"/>
      <c r="G677" s="31"/>
      <c r="H677" s="31"/>
    </row>
    <row r="678" spans="6:8" ht="12.75" customHeight="1" x14ac:dyDescent="0.2">
      <c r="F678" s="31"/>
      <c r="G678" s="31"/>
      <c r="H678" s="31"/>
    </row>
    <row r="679" spans="6:8" ht="12.75" customHeight="1" x14ac:dyDescent="0.2">
      <c r="F679" s="31"/>
      <c r="G679" s="31"/>
      <c r="H679" s="31"/>
    </row>
    <row r="680" spans="6:8" ht="12.75" customHeight="1" x14ac:dyDescent="0.2">
      <c r="F680" s="31"/>
      <c r="G680" s="31"/>
      <c r="H680" s="31"/>
    </row>
    <row r="681" spans="6:8" ht="12.75" customHeight="1" x14ac:dyDescent="0.2">
      <c r="F681" s="31"/>
      <c r="G681" s="31"/>
      <c r="H681" s="31"/>
    </row>
    <row r="682" spans="6:8" ht="12.75" customHeight="1" x14ac:dyDescent="0.2">
      <c r="F682" s="31"/>
      <c r="G682" s="31"/>
      <c r="H682" s="31"/>
    </row>
    <row r="683" spans="6:8" ht="12.75" customHeight="1" x14ac:dyDescent="0.2">
      <c r="F683" s="31"/>
      <c r="G683" s="31"/>
      <c r="H683" s="31"/>
    </row>
    <row r="684" spans="6:8" ht="12.75" customHeight="1" x14ac:dyDescent="0.2">
      <c r="F684" s="31"/>
      <c r="G684" s="31"/>
      <c r="H684" s="31"/>
    </row>
    <row r="685" spans="6:8" ht="12.75" customHeight="1" x14ac:dyDescent="0.2">
      <c r="F685" s="31"/>
      <c r="G685" s="31"/>
      <c r="H685" s="31"/>
    </row>
    <row r="686" spans="6:8" ht="12.75" customHeight="1" x14ac:dyDescent="0.2">
      <c r="F686" s="31"/>
      <c r="G686" s="31"/>
      <c r="H686" s="31"/>
    </row>
    <row r="687" spans="6:8" ht="12.75" customHeight="1" x14ac:dyDescent="0.2">
      <c r="F687" s="31"/>
      <c r="G687" s="31"/>
      <c r="H687" s="31"/>
    </row>
    <row r="688" spans="6:8" ht="12.75" customHeight="1" x14ac:dyDescent="0.2">
      <c r="F688" s="31"/>
      <c r="G688" s="31"/>
      <c r="H688" s="31"/>
    </row>
    <row r="689" spans="6:8" ht="12.75" customHeight="1" x14ac:dyDescent="0.2">
      <c r="F689" s="31"/>
      <c r="G689" s="31"/>
      <c r="H689" s="31"/>
    </row>
    <row r="690" spans="6:8" ht="12.75" customHeight="1" x14ac:dyDescent="0.2">
      <c r="F690" s="31"/>
      <c r="G690" s="31"/>
      <c r="H690" s="31"/>
    </row>
    <row r="691" spans="6:8" ht="12.75" customHeight="1" x14ac:dyDescent="0.2">
      <c r="F691" s="31"/>
      <c r="G691" s="31"/>
      <c r="H691" s="31"/>
    </row>
    <row r="692" spans="6:8" ht="12.75" customHeight="1" x14ac:dyDescent="0.2">
      <c r="F692" s="31"/>
      <c r="G692" s="31"/>
      <c r="H692" s="31"/>
    </row>
    <row r="693" spans="6:8" ht="12.75" customHeight="1" x14ac:dyDescent="0.2">
      <c r="F693" s="31"/>
      <c r="G693" s="31"/>
      <c r="H693" s="31"/>
    </row>
    <row r="694" spans="6:8" ht="12.75" customHeight="1" x14ac:dyDescent="0.2">
      <c r="F694" s="31"/>
      <c r="G694" s="31"/>
      <c r="H694" s="31"/>
    </row>
    <row r="695" spans="6:8" ht="12.75" customHeight="1" x14ac:dyDescent="0.2">
      <c r="F695" s="31"/>
      <c r="G695" s="31"/>
      <c r="H695" s="31"/>
    </row>
    <row r="696" spans="6:8" ht="12.75" customHeight="1" x14ac:dyDescent="0.2">
      <c r="F696" s="31"/>
      <c r="G696" s="31"/>
      <c r="H696" s="31"/>
    </row>
    <row r="697" spans="6:8" ht="12.75" customHeight="1" x14ac:dyDescent="0.2">
      <c r="F697" s="31"/>
      <c r="G697" s="31"/>
      <c r="H697" s="31"/>
    </row>
    <row r="698" spans="6:8" ht="12.75" customHeight="1" x14ac:dyDescent="0.2">
      <c r="F698" s="31"/>
      <c r="G698" s="31"/>
      <c r="H698" s="31"/>
    </row>
    <row r="699" spans="6:8" ht="12.75" customHeight="1" x14ac:dyDescent="0.2">
      <c r="F699" s="31"/>
      <c r="G699" s="31"/>
      <c r="H699" s="31"/>
    </row>
    <row r="700" spans="6:8" ht="12.75" customHeight="1" x14ac:dyDescent="0.2">
      <c r="F700" s="31"/>
      <c r="G700" s="31"/>
      <c r="H700" s="31"/>
    </row>
    <row r="701" spans="6:8" ht="12.75" customHeight="1" x14ac:dyDescent="0.2">
      <c r="F701" s="31"/>
      <c r="G701" s="31"/>
      <c r="H701" s="31"/>
    </row>
    <row r="702" spans="6:8" ht="12.75" customHeight="1" x14ac:dyDescent="0.2">
      <c r="F702" s="31"/>
      <c r="G702" s="31"/>
      <c r="H702" s="31"/>
    </row>
    <row r="703" spans="6:8" ht="12.75" customHeight="1" x14ac:dyDescent="0.2">
      <c r="F703" s="31"/>
      <c r="G703" s="31"/>
      <c r="H703" s="31"/>
    </row>
    <row r="704" spans="6:8" ht="12.75" customHeight="1" x14ac:dyDescent="0.2">
      <c r="F704" s="31"/>
      <c r="G704" s="31"/>
      <c r="H704" s="31"/>
    </row>
    <row r="705" spans="6:8" ht="12.75" customHeight="1" x14ac:dyDescent="0.2">
      <c r="F705" s="31"/>
      <c r="G705" s="31"/>
      <c r="H705" s="31"/>
    </row>
    <row r="706" spans="6:8" ht="12.75" customHeight="1" x14ac:dyDescent="0.2">
      <c r="F706" s="31"/>
      <c r="G706" s="31"/>
      <c r="H706" s="31"/>
    </row>
    <row r="707" spans="6:8" ht="12.75" customHeight="1" x14ac:dyDescent="0.2">
      <c r="F707" s="31"/>
      <c r="G707" s="31"/>
      <c r="H707" s="31"/>
    </row>
    <row r="708" spans="6:8" ht="12.75" customHeight="1" x14ac:dyDescent="0.2">
      <c r="F708" s="31"/>
      <c r="G708" s="31"/>
      <c r="H708" s="31"/>
    </row>
    <row r="709" spans="6:8" ht="12.75" customHeight="1" x14ac:dyDescent="0.2">
      <c r="F709" s="31"/>
      <c r="G709" s="31"/>
      <c r="H709" s="31"/>
    </row>
    <row r="710" spans="6:8" ht="12.75" customHeight="1" x14ac:dyDescent="0.2">
      <c r="F710" s="31"/>
      <c r="G710" s="31"/>
      <c r="H710" s="31"/>
    </row>
    <row r="711" spans="6:8" ht="12.75" customHeight="1" x14ac:dyDescent="0.2">
      <c r="F711" s="31"/>
      <c r="G711" s="31"/>
      <c r="H711" s="31"/>
    </row>
    <row r="712" spans="6:8" ht="12.75" customHeight="1" x14ac:dyDescent="0.2">
      <c r="F712" s="31"/>
      <c r="G712" s="31"/>
      <c r="H712" s="31"/>
    </row>
    <row r="713" spans="6:8" ht="12.75" customHeight="1" x14ac:dyDescent="0.2">
      <c r="F713" s="31"/>
      <c r="G713" s="31"/>
      <c r="H713" s="31"/>
    </row>
    <row r="714" spans="6:8" ht="12.75" customHeight="1" x14ac:dyDescent="0.2">
      <c r="F714" s="31"/>
      <c r="G714" s="31"/>
      <c r="H714" s="31"/>
    </row>
    <row r="715" spans="6:8" ht="12.75" customHeight="1" x14ac:dyDescent="0.2">
      <c r="F715" s="31"/>
      <c r="G715" s="31"/>
      <c r="H715" s="31"/>
    </row>
    <row r="716" spans="6:8" ht="12.75" customHeight="1" x14ac:dyDescent="0.2">
      <c r="F716" s="31"/>
      <c r="G716" s="31"/>
      <c r="H716" s="31"/>
    </row>
    <row r="717" spans="6:8" ht="12.75" customHeight="1" x14ac:dyDescent="0.2">
      <c r="F717" s="31"/>
      <c r="G717" s="31"/>
      <c r="H717" s="31"/>
    </row>
    <row r="718" spans="6:8" ht="12.75" customHeight="1" x14ac:dyDescent="0.2">
      <c r="F718" s="31"/>
      <c r="G718" s="31"/>
      <c r="H718" s="31"/>
    </row>
    <row r="719" spans="6:8" ht="12.75" customHeight="1" x14ac:dyDescent="0.2">
      <c r="F719" s="31"/>
      <c r="G719" s="31"/>
      <c r="H719" s="31"/>
    </row>
    <row r="720" spans="6:8" ht="12.75" customHeight="1" x14ac:dyDescent="0.2">
      <c r="F720" s="31"/>
      <c r="G720" s="31"/>
      <c r="H720" s="31"/>
    </row>
    <row r="721" spans="6:8" ht="12.75" customHeight="1" x14ac:dyDescent="0.2">
      <c r="F721" s="31"/>
      <c r="G721" s="31"/>
      <c r="H721" s="31"/>
    </row>
    <row r="722" spans="6:8" ht="12.75" customHeight="1" x14ac:dyDescent="0.2">
      <c r="F722" s="31"/>
      <c r="G722" s="31"/>
      <c r="H722" s="31"/>
    </row>
    <row r="723" spans="6:8" ht="12.75" customHeight="1" x14ac:dyDescent="0.2">
      <c r="F723" s="31"/>
      <c r="G723" s="31"/>
      <c r="H723" s="31"/>
    </row>
    <row r="724" spans="6:8" ht="12.75" customHeight="1" x14ac:dyDescent="0.2">
      <c r="F724" s="31"/>
      <c r="G724" s="31"/>
      <c r="H724" s="31"/>
    </row>
    <row r="725" spans="6:8" ht="12.75" customHeight="1" x14ac:dyDescent="0.2">
      <c r="F725" s="31"/>
      <c r="G725" s="31"/>
      <c r="H725" s="31"/>
    </row>
    <row r="726" spans="6:8" ht="12.75" customHeight="1" x14ac:dyDescent="0.2">
      <c r="F726" s="31"/>
      <c r="G726" s="31"/>
      <c r="H726" s="31"/>
    </row>
    <row r="727" spans="6:8" ht="12.75" customHeight="1" x14ac:dyDescent="0.2">
      <c r="F727" s="31"/>
      <c r="G727" s="31"/>
      <c r="H727" s="31"/>
    </row>
    <row r="728" spans="6:8" ht="12.75" customHeight="1" x14ac:dyDescent="0.2">
      <c r="F728" s="31"/>
      <c r="G728" s="31"/>
      <c r="H728" s="31"/>
    </row>
    <row r="729" spans="6:8" ht="12.75" customHeight="1" x14ac:dyDescent="0.2">
      <c r="F729" s="31"/>
      <c r="G729" s="31"/>
      <c r="H729" s="31"/>
    </row>
    <row r="730" spans="6:8" ht="12.75" customHeight="1" x14ac:dyDescent="0.2">
      <c r="F730" s="31"/>
      <c r="G730" s="31"/>
      <c r="H730" s="31"/>
    </row>
    <row r="731" spans="6:8" ht="12.75" customHeight="1" x14ac:dyDescent="0.2">
      <c r="F731" s="31"/>
      <c r="G731" s="31"/>
      <c r="H731" s="31"/>
    </row>
    <row r="732" spans="6:8" ht="12.75" customHeight="1" x14ac:dyDescent="0.2">
      <c r="F732" s="31"/>
      <c r="G732" s="31"/>
      <c r="H732" s="31"/>
    </row>
    <row r="733" spans="6:8" ht="12.75" customHeight="1" x14ac:dyDescent="0.2">
      <c r="F733" s="31"/>
      <c r="G733" s="31"/>
      <c r="H733" s="31"/>
    </row>
    <row r="734" spans="6:8" ht="12.75" customHeight="1" x14ac:dyDescent="0.2">
      <c r="F734" s="31"/>
      <c r="G734" s="31"/>
      <c r="H734" s="31"/>
    </row>
    <row r="735" spans="6:8" ht="12.75" customHeight="1" x14ac:dyDescent="0.2">
      <c r="F735" s="31"/>
      <c r="G735" s="31"/>
      <c r="H735" s="31"/>
    </row>
    <row r="736" spans="6:8" ht="12.75" customHeight="1" x14ac:dyDescent="0.2">
      <c r="F736" s="31"/>
      <c r="G736" s="31"/>
      <c r="H736" s="31"/>
    </row>
    <row r="737" spans="6:8" ht="12.75" customHeight="1" x14ac:dyDescent="0.2">
      <c r="F737" s="31"/>
      <c r="G737" s="31"/>
      <c r="H737" s="31"/>
    </row>
    <row r="738" spans="6:8" ht="12.75" customHeight="1" x14ac:dyDescent="0.2">
      <c r="F738" s="31"/>
      <c r="G738" s="31"/>
      <c r="H738" s="31"/>
    </row>
    <row r="739" spans="6:8" ht="12.75" customHeight="1" x14ac:dyDescent="0.2">
      <c r="F739" s="31"/>
      <c r="G739" s="31"/>
      <c r="H739" s="31"/>
    </row>
    <row r="740" spans="6:8" ht="12.75" customHeight="1" x14ac:dyDescent="0.2">
      <c r="F740" s="31"/>
      <c r="G740" s="31"/>
      <c r="H740" s="31"/>
    </row>
    <row r="741" spans="6:8" ht="12.75" customHeight="1" x14ac:dyDescent="0.2">
      <c r="F741" s="31"/>
      <c r="G741" s="31"/>
      <c r="H741" s="31"/>
    </row>
    <row r="742" spans="6:8" ht="12.75" customHeight="1" x14ac:dyDescent="0.2">
      <c r="F742" s="31"/>
      <c r="G742" s="31"/>
      <c r="H742" s="31"/>
    </row>
    <row r="743" spans="6:8" ht="12.75" customHeight="1" x14ac:dyDescent="0.2">
      <c r="F743" s="31"/>
      <c r="G743" s="31"/>
      <c r="H743" s="31"/>
    </row>
    <row r="744" spans="6:8" ht="12.75" customHeight="1" x14ac:dyDescent="0.2">
      <c r="F744" s="31"/>
      <c r="G744" s="31"/>
      <c r="H744" s="31"/>
    </row>
    <row r="745" spans="6:8" ht="12.75" customHeight="1" x14ac:dyDescent="0.2">
      <c r="F745" s="31"/>
      <c r="G745" s="31"/>
      <c r="H745" s="31"/>
    </row>
    <row r="746" spans="6:8" ht="12.75" customHeight="1" x14ac:dyDescent="0.2">
      <c r="F746" s="31"/>
      <c r="G746" s="31"/>
      <c r="H746" s="31"/>
    </row>
    <row r="747" spans="6:8" ht="12.75" customHeight="1" x14ac:dyDescent="0.2">
      <c r="F747" s="31"/>
      <c r="G747" s="31"/>
      <c r="H747" s="31"/>
    </row>
    <row r="748" spans="6:8" ht="12.75" customHeight="1" x14ac:dyDescent="0.2">
      <c r="F748" s="31"/>
      <c r="G748" s="31"/>
      <c r="H748" s="31"/>
    </row>
    <row r="749" spans="6:8" ht="12.75" customHeight="1" x14ac:dyDescent="0.2">
      <c r="F749" s="31"/>
      <c r="G749" s="31"/>
      <c r="H749" s="31"/>
    </row>
    <row r="750" spans="6:8" ht="12.75" customHeight="1" x14ac:dyDescent="0.2">
      <c r="F750" s="31"/>
      <c r="G750" s="31"/>
      <c r="H750" s="31"/>
    </row>
    <row r="751" spans="6:8" ht="12.75" customHeight="1" x14ac:dyDescent="0.2">
      <c r="F751" s="31"/>
      <c r="G751" s="31"/>
      <c r="H751" s="31"/>
    </row>
    <row r="752" spans="6:8" ht="12.75" customHeight="1" x14ac:dyDescent="0.2">
      <c r="F752" s="31"/>
      <c r="G752" s="31"/>
      <c r="H752" s="31"/>
    </row>
    <row r="753" spans="6:8" ht="12.75" customHeight="1" x14ac:dyDescent="0.2">
      <c r="F753" s="31"/>
      <c r="G753" s="31"/>
      <c r="H753" s="31"/>
    </row>
    <row r="754" spans="6:8" ht="12.75" customHeight="1" x14ac:dyDescent="0.2">
      <c r="F754" s="31"/>
      <c r="G754" s="31"/>
      <c r="H754" s="31"/>
    </row>
    <row r="755" spans="6:8" ht="12.75" customHeight="1" x14ac:dyDescent="0.2">
      <c r="F755" s="31"/>
      <c r="G755" s="31"/>
      <c r="H755" s="31"/>
    </row>
    <row r="756" spans="6:8" ht="12.75" customHeight="1" x14ac:dyDescent="0.2">
      <c r="F756" s="31"/>
      <c r="G756" s="31"/>
      <c r="H756" s="31"/>
    </row>
    <row r="757" spans="6:8" ht="12.75" customHeight="1" x14ac:dyDescent="0.2">
      <c r="F757" s="31"/>
      <c r="G757" s="31"/>
      <c r="H757" s="31"/>
    </row>
    <row r="758" spans="6:8" ht="12.75" customHeight="1" x14ac:dyDescent="0.2">
      <c r="F758" s="31"/>
      <c r="G758" s="31"/>
      <c r="H758" s="31"/>
    </row>
    <row r="759" spans="6:8" ht="12.75" customHeight="1" x14ac:dyDescent="0.2">
      <c r="F759" s="31"/>
      <c r="G759" s="31"/>
      <c r="H759" s="31"/>
    </row>
    <row r="760" spans="6:8" ht="12.75" customHeight="1" x14ac:dyDescent="0.2">
      <c r="F760" s="31"/>
      <c r="G760" s="31"/>
      <c r="H760" s="31"/>
    </row>
    <row r="761" spans="6:8" ht="12.75" customHeight="1" x14ac:dyDescent="0.2">
      <c r="F761" s="31"/>
      <c r="G761" s="31"/>
      <c r="H761" s="31"/>
    </row>
    <row r="762" spans="6:8" ht="12.75" customHeight="1" x14ac:dyDescent="0.2">
      <c r="F762" s="31"/>
      <c r="G762" s="31"/>
      <c r="H762" s="31"/>
    </row>
    <row r="763" spans="6:8" ht="12.75" customHeight="1" x14ac:dyDescent="0.2">
      <c r="F763" s="31"/>
      <c r="G763" s="31"/>
      <c r="H763" s="31"/>
    </row>
    <row r="764" spans="6:8" ht="12.75" customHeight="1" x14ac:dyDescent="0.2">
      <c r="F764" s="31"/>
      <c r="G764" s="31"/>
      <c r="H764" s="31"/>
    </row>
    <row r="765" spans="6:8" ht="12.75" customHeight="1" x14ac:dyDescent="0.2">
      <c r="F765" s="31"/>
      <c r="G765" s="31"/>
      <c r="H765" s="31"/>
    </row>
    <row r="766" spans="6:8" ht="12.75" customHeight="1" x14ac:dyDescent="0.2">
      <c r="F766" s="31"/>
      <c r="G766" s="31"/>
      <c r="H766" s="31"/>
    </row>
    <row r="767" spans="6:8" ht="12.75" customHeight="1" x14ac:dyDescent="0.2">
      <c r="F767" s="31"/>
      <c r="G767" s="31"/>
      <c r="H767" s="31"/>
    </row>
    <row r="768" spans="6:8" ht="12.75" customHeight="1" x14ac:dyDescent="0.2">
      <c r="F768" s="31"/>
      <c r="G768" s="31"/>
      <c r="H768" s="31"/>
    </row>
    <row r="769" spans="6:8" ht="12.75" customHeight="1" x14ac:dyDescent="0.2">
      <c r="F769" s="31"/>
      <c r="G769" s="31"/>
      <c r="H769" s="31"/>
    </row>
    <row r="770" spans="6:8" ht="12.75" customHeight="1" x14ac:dyDescent="0.2">
      <c r="F770" s="31"/>
      <c r="G770" s="31"/>
      <c r="H770" s="31"/>
    </row>
    <row r="771" spans="6:8" ht="12.75" customHeight="1" x14ac:dyDescent="0.2">
      <c r="F771" s="31"/>
      <c r="G771" s="31"/>
      <c r="H771" s="31"/>
    </row>
    <row r="772" spans="6:8" ht="12.75" customHeight="1" x14ac:dyDescent="0.2">
      <c r="F772" s="31"/>
      <c r="G772" s="31"/>
      <c r="H772" s="31"/>
    </row>
    <row r="773" spans="6:8" ht="12.75" customHeight="1" x14ac:dyDescent="0.2">
      <c r="F773" s="31"/>
      <c r="G773" s="31"/>
      <c r="H773" s="31"/>
    </row>
    <row r="774" spans="6:8" ht="12.75" customHeight="1" x14ac:dyDescent="0.2">
      <c r="F774" s="31"/>
      <c r="G774" s="31"/>
      <c r="H774" s="31"/>
    </row>
    <row r="775" spans="6:8" ht="12.75" customHeight="1" x14ac:dyDescent="0.2">
      <c r="F775" s="31"/>
      <c r="G775" s="31"/>
      <c r="H775" s="31"/>
    </row>
    <row r="776" spans="6:8" ht="12.75" customHeight="1" x14ac:dyDescent="0.2">
      <c r="F776" s="31"/>
      <c r="G776" s="31"/>
      <c r="H776" s="31"/>
    </row>
    <row r="777" spans="6:8" ht="12.75" customHeight="1" x14ac:dyDescent="0.2">
      <c r="F777" s="31"/>
      <c r="G777" s="31"/>
      <c r="H777" s="31"/>
    </row>
    <row r="778" spans="6:8" ht="12.75" customHeight="1" x14ac:dyDescent="0.2">
      <c r="F778" s="31"/>
      <c r="G778" s="31"/>
      <c r="H778" s="31"/>
    </row>
    <row r="779" spans="6:8" ht="12.75" customHeight="1" x14ac:dyDescent="0.2">
      <c r="F779" s="31"/>
      <c r="G779" s="31"/>
      <c r="H779" s="31"/>
    </row>
    <row r="780" spans="6:8" ht="12.75" customHeight="1" x14ac:dyDescent="0.2">
      <c r="F780" s="31"/>
      <c r="G780" s="31"/>
      <c r="H780" s="31"/>
    </row>
    <row r="781" spans="6:8" ht="12.75" customHeight="1" x14ac:dyDescent="0.2">
      <c r="F781" s="31"/>
      <c r="G781" s="31"/>
      <c r="H781" s="31"/>
    </row>
    <row r="782" spans="6:8" ht="12.75" customHeight="1" x14ac:dyDescent="0.2">
      <c r="F782" s="31"/>
      <c r="G782" s="31"/>
      <c r="H782" s="31"/>
    </row>
    <row r="783" spans="6:8" ht="12.75" customHeight="1" x14ac:dyDescent="0.2">
      <c r="F783" s="31"/>
      <c r="G783" s="31"/>
      <c r="H783" s="31"/>
    </row>
    <row r="784" spans="6:8" ht="12.75" customHeight="1" x14ac:dyDescent="0.2">
      <c r="F784" s="31"/>
      <c r="G784" s="31"/>
      <c r="H784" s="31"/>
    </row>
    <row r="785" spans="6:8" ht="12.75" customHeight="1" x14ac:dyDescent="0.2">
      <c r="F785" s="31"/>
      <c r="G785" s="31"/>
      <c r="H785" s="31"/>
    </row>
    <row r="786" spans="6:8" ht="12.75" customHeight="1" x14ac:dyDescent="0.2">
      <c r="F786" s="31"/>
      <c r="G786" s="31"/>
      <c r="H786" s="31"/>
    </row>
    <row r="787" spans="6:8" ht="12.75" customHeight="1" x14ac:dyDescent="0.2">
      <c r="F787" s="31"/>
      <c r="G787" s="31"/>
      <c r="H787" s="31"/>
    </row>
    <row r="788" spans="6:8" ht="12.75" customHeight="1" x14ac:dyDescent="0.2">
      <c r="F788" s="31"/>
      <c r="G788" s="31"/>
      <c r="H788" s="31"/>
    </row>
    <row r="789" spans="6:8" ht="12.75" customHeight="1" x14ac:dyDescent="0.2">
      <c r="F789" s="31"/>
      <c r="G789" s="31"/>
      <c r="H789" s="31"/>
    </row>
    <row r="790" spans="6:8" ht="12.75" customHeight="1" x14ac:dyDescent="0.2">
      <c r="F790" s="31"/>
      <c r="G790" s="31"/>
      <c r="H790" s="31"/>
    </row>
    <row r="791" spans="6:8" ht="12.75" customHeight="1" x14ac:dyDescent="0.2">
      <c r="F791" s="31"/>
      <c r="G791" s="31"/>
      <c r="H791" s="31"/>
    </row>
    <row r="792" spans="6:8" ht="12.75" customHeight="1" x14ac:dyDescent="0.2">
      <c r="F792" s="31"/>
      <c r="G792" s="31"/>
      <c r="H792" s="31"/>
    </row>
    <row r="793" spans="6:8" ht="12.75" customHeight="1" x14ac:dyDescent="0.2">
      <c r="F793" s="31"/>
      <c r="G793" s="31"/>
      <c r="H793" s="31"/>
    </row>
    <row r="794" spans="6:8" ht="12.75" customHeight="1" x14ac:dyDescent="0.2">
      <c r="F794" s="31"/>
      <c r="G794" s="31"/>
      <c r="H794" s="31"/>
    </row>
    <row r="795" spans="6:8" ht="12.75" customHeight="1" x14ac:dyDescent="0.2">
      <c r="F795" s="31"/>
      <c r="G795" s="31"/>
      <c r="H795" s="31"/>
    </row>
    <row r="796" spans="6:8" ht="12.75" customHeight="1" x14ac:dyDescent="0.2">
      <c r="F796" s="31"/>
      <c r="G796" s="31"/>
      <c r="H796" s="31"/>
    </row>
    <row r="797" spans="6:8" ht="12.75" customHeight="1" x14ac:dyDescent="0.2">
      <c r="F797" s="31"/>
      <c r="G797" s="31"/>
      <c r="H797" s="31"/>
    </row>
    <row r="798" spans="6:8" ht="12.75" customHeight="1" x14ac:dyDescent="0.2">
      <c r="F798" s="31"/>
      <c r="G798" s="31"/>
      <c r="H798" s="31"/>
    </row>
    <row r="799" spans="6:8" ht="12.75" customHeight="1" x14ac:dyDescent="0.2">
      <c r="F799" s="31"/>
      <c r="G799" s="31"/>
      <c r="H799" s="31"/>
    </row>
    <row r="800" spans="6:8" ht="12.75" customHeight="1" x14ac:dyDescent="0.2">
      <c r="F800" s="31"/>
      <c r="G800" s="31"/>
      <c r="H800" s="31"/>
    </row>
    <row r="801" spans="6:8" ht="12.75" customHeight="1" x14ac:dyDescent="0.2">
      <c r="F801" s="31"/>
      <c r="G801" s="31"/>
      <c r="H801" s="31"/>
    </row>
    <row r="802" spans="6:8" ht="12.75" customHeight="1" x14ac:dyDescent="0.2">
      <c r="F802" s="31"/>
      <c r="G802" s="31"/>
      <c r="H802" s="31"/>
    </row>
    <row r="803" spans="6:8" ht="12.75" customHeight="1" x14ac:dyDescent="0.2">
      <c r="F803" s="31"/>
      <c r="G803" s="31"/>
      <c r="H803" s="31"/>
    </row>
    <row r="804" spans="6:8" ht="12.75" customHeight="1" x14ac:dyDescent="0.2">
      <c r="F804" s="31"/>
      <c r="G804" s="31"/>
      <c r="H804" s="31"/>
    </row>
    <row r="805" spans="6:8" ht="12.75" customHeight="1" x14ac:dyDescent="0.2">
      <c r="F805" s="31"/>
      <c r="G805" s="31"/>
      <c r="H805" s="31"/>
    </row>
    <row r="806" spans="6:8" ht="12.75" customHeight="1" x14ac:dyDescent="0.2">
      <c r="F806" s="31"/>
      <c r="G806" s="31"/>
      <c r="H806" s="31"/>
    </row>
    <row r="807" spans="6:8" ht="12.75" customHeight="1" x14ac:dyDescent="0.2">
      <c r="F807" s="31"/>
      <c r="G807" s="31"/>
      <c r="H807" s="31"/>
    </row>
    <row r="808" spans="6:8" ht="12.75" customHeight="1" x14ac:dyDescent="0.2">
      <c r="F808" s="31"/>
      <c r="G808" s="31"/>
      <c r="H808" s="31"/>
    </row>
    <row r="809" spans="6:8" ht="12.75" customHeight="1" x14ac:dyDescent="0.2">
      <c r="F809" s="31"/>
      <c r="G809" s="31"/>
      <c r="H809" s="31"/>
    </row>
    <row r="810" spans="6:8" ht="12.75" customHeight="1" x14ac:dyDescent="0.2">
      <c r="F810" s="31"/>
      <c r="G810" s="31"/>
      <c r="H810" s="31"/>
    </row>
    <row r="811" spans="6:8" ht="12.75" customHeight="1" x14ac:dyDescent="0.2">
      <c r="F811" s="31"/>
      <c r="G811" s="31"/>
      <c r="H811" s="31"/>
    </row>
    <row r="812" spans="6:8" ht="12.75" customHeight="1" x14ac:dyDescent="0.2">
      <c r="F812" s="31"/>
      <c r="G812" s="31"/>
      <c r="H812" s="31"/>
    </row>
    <row r="813" spans="6:8" ht="12.75" customHeight="1" x14ac:dyDescent="0.2">
      <c r="F813" s="31"/>
      <c r="G813" s="31"/>
      <c r="H813" s="31"/>
    </row>
    <row r="814" spans="6:8" ht="12.75" customHeight="1" x14ac:dyDescent="0.2">
      <c r="F814" s="31"/>
      <c r="G814" s="31"/>
      <c r="H814" s="31"/>
    </row>
    <row r="815" spans="6:8" ht="12.75" customHeight="1" x14ac:dyDescent="0.2">
      <c r="F815" s="31"/>
      <c r="G815" s="31"/>
      <c r="H815" s="31"/>
    </row>
    <row r="816" spans="6:8" ht="12.75" customHeight="1" x14ac:dyDescent="0.2">
      <c r="F816" s="31"/>
      <c r="G816" s="31"/>
      <c r="H816" s="31"/>
    </row>
    <row r="817" spans="6:8" ht="12.75" customHeight="1" x14ac:dyDescent="0.2">
      <c r="F817" s="31"/>
      <c r="G817" s="31"/>
      <c r="H817" s="31"/>
    </row>
    <row r="818" spans="6:8" ht="12.75" customHeight="1" x14ac:dyDescent="0.2">
      <c r="F818" s="31"/>
      <c r="G818" s="31"/>
      <c r="H818" s="31"/>
    </row>
    <row r="819" spans="6:8" ht="12.75" customHeight="1" x14ac:dyDescent="0.2">
      <c r="F819" s="31"/>
      <c r="G819" s="31"/>
      <c r="H819" s="31"/>
    </row>
    <row r="820" spans="6:8" ht="12.75" customHeight="1" x14ac:dyDescent="0.2">
      <c r="F820" s="31"/>
      <c r="G820" s="31"/>
      <c r="H820" s="31"/>
    </row>
    <row r="821" spans="6:8" ht="12.75" customHeight="1" x14ac:dyDescent="0.2">
      <c r="F821" s="31"/>
      <c r="G821" s="31"/>
      <c r="H821" s="31"/>
    </row>
    <row r="822" spans="6:8" ht="12.75" customHeight="1" x14ac:dyDescent="0.2">
      <c r="F822" s="31"/>
      <c r="G822" s="31"/>
      <c r="H822" s="31"/>
    </row>
    <row r="823" spans="6:8" ht="12.75" customHeight="1" x14ac:dyDescent="0.2">
      <c r="F823" s="31"/>
      <c r="G823" s="31"/>
      <c r="H823" s="31"/>
    </row>
    <row r="824" spans="6:8" ht="12.75" customHeight="1" x14ac:dyDescent="0.2">
      <c r="F824" s="31"/>
      <c r="G824" s="31"/>
      <c r="H824" s="31"/>
    </row>
    <row r="825" spans="6:8" ht="12.75" customHeight="1" x14ac:dyDescent="0.2">
      <c r="F825" s="31"/>
      <c r="G825" s="31"/>
      <c r="H825" s="31"/>
    </row>
    <row r="826" spans="6:8" ht="12.75" customHeight="1" x14ac:dyDescent="0.2">
      <c r="F826" s="31"/>
      <c r="G826" s="31"/>
      <c r="H826" s="31"/>
    </row>
    <row r="827" spans="6:8" ht="12.75" customHeight="1" x14ac:dyDescent="0.2">
      <c r="F827" s="31"/>
      <c r="G827" s="31"/>
      <c r="H827" s="31"/>
    </row>
    <row r="828" spans="6:8" ht="12.75" customHeight="1" x14ac:dyDescent="0.2">
      <c r="F828" s="31"/>
      <c r="G828" s="31"/>
      <c r="H828" s="31"/>
    </row>
    <row r="829" spans="6:8" ht="12.75" customHeight="1" x14ac:dyDescent="0.2">
      <c r="F829" s="31"/>
      <c r="G829" s="31"/>
      <c r="H829" s="31"/>
    </row>
    <row r="830" spans="6:8" ht="12.75" customHeight="1" x14ac:dyDescent="0.2">
      <c r="F830" s="31"/>
      <c r="G830" s="31"/>
      <c r="H830" s="31"/>
    </row>
    <row r="831" spans="6:8" ht="12.75" customHeight="1" x14ac:dyDescent="0.2">
      <c r="F831" s="31"/>
      <c r="G831" s="31"/>
      <c r="H831" s="31"/>
    </row>
    <row r="832" spans="6:8" ht="12.75" customHeight="1" x14ac:dyDescent="0.2">
      <c r="F832" s="31"/>
      <c r="G832" s="31"/>
      <c r="H832" s="31"/>
    </row>
    <row r="833" spans="6:8" ht="12.75" customHeight="1" x14ac:dyDescent="0.2">
      <c r="F833" s="31"/>
      <c r="G833" s="31"/>
      <c r="H833" s="31"/>
    </row>
    <row r="834" spans="6:8" ht="12.75" customHeight="1" x14ac:dyDescent="0.2">
      <c r="F834" s="31"/>
      <c r="G834" s="31"/>
      <c r="H834" s="31"/>
    </row>
    <row r="835" spans="6:8" ht="12.75" customHeight="1" x14ac:dyDescent="0.2">
      <c r="F835" s="31"/>
      <c r="G835" s="31"/>
      <c r="H835" s="31"/>
    </row>
    <row r="836" spans="6:8" ht="12.75" customHeight="1" x14ac:dyDescent="0.2">
      <c r="F836" s="31"/>
      <c r="G836" s="31"/>
      <c r="H836" s="31"/>
    </row>
    <row r="837" spans="6:8" ht="12.75" customHeight="1" x14ac:dyDescent="0.2">
      <c r="F837" s="31"/>
      <c r="G837" s="31"/>
      <c r="H837" s="31"/>
    </row>
    <row r="838" spans="6:8" ht="12.75" customHeight="1" x14ac:dyDescent="0.2">
      <c r="F838" s="31"/>
      <c r="G838" s="31"/>
      <c r="H838" s="31"/>
    </row>
    <row r="839" spans="6:8" ht="12.75" customHeight="1" x14ac:dyDescent="0.2">
      <c r="F839" s="31"/>
      <c r="G839" s="31"/>
      <c r="H839" s="31"/>
    </row>
    <row r="840" spans="6:8" ht="12.75" customHeight="1" x14ac:dyDescent="0.2">
      <c r="F840" s="31"/>
      <c r="G840" s="31"/>
      <c r="H840" s="31"/>
    </row>
    <row r="841" spans="6:8" ht="12.75" customHeight="1" x14ac:dyDescent="0.2">
      <c r="F841" s="31"/>
      <c r="G841" s="31"/>
      <c r="H841" s="31"/>
    </row>
    <row r="842" spans="6:8" ht="12.75" customHeight="1" x14ac:dyDescent="0.2">
      <c r="F842" s="31"/>
      <c r="G842" s="31"/>
      <c r="H842" s="31"/>
    </row>
    <row r="843" spans="6:8" ht="12.75" customHeight="1" x14ac:dyDescent="0.2">
      <c r="F843" s="31"/>
      <c r="G843" s="31"/>
      <c r="H843" s="31"/>
    </row>
    <row r="844" spans="6:8" ht="12.75" customHeight="1" x14ac:dyDescent="0.2">
      <c r="F844" s="31"/>
      <c r="G844" s="31"/>
      <c r="H844" s="31"/>
    </row>
    <row r="845" spans="6:8" ht="12.75" customHeight="1" x14ac:dyDescent="0.2">
      <c r="F845" s="31"/>
      <c r="G845" s="31"/>
      <c r="H845" s="31"/>
    </row>
    <row r="846" spans="6:8" ht="12.75" customHeight="1" x14ac:dyDescent="0.2">
      <c r="F846" s="31"/>
      <c r="G846" s="31"/>
      <c r="H846" s="31"/>
    </row>
    <row r="847" spans="6:8" ht="12.75" customHeight="1" x14ac:dyDescent="0.2">
      <c r="F847" s="31"/>
      <c r="G847" s="31"/>
      <c r="H847" s="31"/>
    </row>
    <row r="848" spans="6:8" ht="12.75" customHeight="1" x14ac:dyDescent="0.2">
      <c r="F848" s="31"/>
      <c r="G848" s="31"/>
      <c r="H848" s="31"/>
    </row>
    <row r="849" spans="6:8" ht="12.75" customHeight="1" x14ac:dyDescent="0.2">
      <c r="F849" s="31"/>
      <c r="G849" s="31"/>
      <c r="H849" s="31"/>
    </row>
    <row r="850" spans="6:8" ht="12.75" customHeight="1" x14ac:dyDescent="0.2">
      <c r="F850" s="31"/>
      <c r="G850" s="31"/>
      <c r="H850" s="31"/>
    </row>
    <row r="851" spans="6:8" ht="12.75" customHeight="1" x14ac:dyDescent="0.2">
      <c r="F851" s="31"/>
      <c r="G851" s="31"/>
      <c r="H851" s="31"/>
    </row>
    <row r="852" spans="6:8" ht="12.75" customHeight="1" x14ac:dyDescent="0.2">
      <c r="F852" s="31"/>
      <c r="G852" s="31"/>
      <c r="H852" s="31"/>
    </row>
    <row r="853" spans="6:8" ht="12.75" customHeight="1" x14ac:dyDescent="0.2">
      <c r="F853" s="31"/>
      <c r="G853" s="31"/>
      <c r="H853" s="31"/>
    </row>
    <row r="854" spans="6:8" ht="12.75" customHeight="1" x14ac:dyDescent="0.2">
      <c r="F854" s="31"/>
      <c r="G854" s="31"/>
      <c r="H854" s="31"/>
    </row>
    <row r="855" spans="6:8" ht="12.75" customHeight="1" x14ac:dyDescent="0.2">
      <c r="F855" s="31"/>
      <c r="G855" s="31"/>
      <c r="H855" s="31"/>
    </row>
    <row r="856" spans="6:8" ht="12.75" customHeight="1" x14ac:dyDescent="0.2">
      <c r="F856" s="31"/>
      <c r="G856" s="31"/>
      <c r="H856" s="31"/>
    </row>
    <row r="857" spans="6:8" ht="12.75" customHeight="1" x14ac:dyDescent="0.2">
      <c r="F857" s="31"/>
      <c r="G857" s="31"/>
      <c r="H857" s="31"/>
    </row>
    <row r="858" spans="6:8" ht="12.75" customHeight="1" x14ac:dyDescent="0.2">
      <c r="F858" s="31"/>
      <c r="G858" s="31"/>
      <c r="H858" s="31"/>
    </row>
    <row r="859" spans="6:8" ht="12.75" customHeight="1" x14ac:dyDescent="0.2">
      <c r="F859" s="31"/>
      <c r="G859" s="31"/>
      <c r="H859" s="31"/>
    </row>
    <row r="860" spans="6:8" ht="12.75" customHeight="1" x14ac:dyDescent="0.2">
      <c r="F860" s="31"/>
      <c r="G860" s="31"/>
      <c r="H860" s="31"/>
    </row>
    <row r="861" spans="6:8" ht="12.75" customHeight="1" x14ac:dyDescent="0.2">
      <c r="F861" s="31"/>
      <c r="G861" s="31"/>
      <c r="H861" s="31"/>
    </row>
    <row r="862" spans="6:8" ht="12.75" customHeight="1" x14ac:dyDescent="0.2">
      <c r="F862" s="31"/>
      <c r="G862" s="31"/>
      <c r="H862" s="31"/>
    </row>
    <row r="863" spans="6:8" ht="12.75" customHeight="1" x14ac:dyDescent="0.2">
      <c r="F863" s="31"/>
      <c r="G863" s="31"/>
      <c r="H863" s="31"/>
    </row>
    <row r="864" spans="6:8" ht="12.75" customHeight="1" x14ac:dyDescent="0.2">
      <c r="F864" s="31"/>
      <c r="G864" s="31"/>
      <c r="H864" s="31"/>
    </row>
    <row r="865" spans="6:8" ht="12.75" customHeight="1" x14ac:dyDescent="0.2">
      <c r="F865" s="31"/>
      <c r="G865" s="31"/>
      <c r="H865" s="31"/>
    </row>
    <row r="866" spans="6:8" ht="12.75" customHeight="1" x14ac:dyDescent="0.2">
      <c r="F866" s="31"/>
      <c r="G866" s="31"/>
      <c r="H866" s="31"/>
    </row>
    <row r="867" spans="6:8" ht="12.75" customHeight="1" x14ac:dyDescent="0.2">
      <c r="F867" s="31"/>
      <c r="G867" s="31"/>
      <c r="H867" s="31"/>
    </row>
    <row r="868" spans="6:8" ht="12.75" customHeight="1" x14ac:dyDescent="0.2">
      <c r="F868" s="31"/>
      <c r="G868" s="31"/>
      <c r="H868" s="31"/>
    </row>
    <row r="869" spans="6:8" ht="12.75" customHeight="1" x14ac:dyDescent="0.2"/>
    <row r="870" spans="6:8" ht="12.75" customHeight="1" x14ac:dyDescent="0.2"/>
    <row r="871" spans="6:8" ht="12.75" customHeight="1" x14ac:dyDescent="0.2"/>
    <row r="872" spans="6:8" ht="12.75" customHeight="1" x14ac:dyDescent="0.2"/>
    <row r="873" spans="6:8" ht="12.75" customHeight="1" x14ac:dyDescent="0.2"/>
    <row r="874" spans="6:8" ht="12.75" customHeight="1" x14ac:dyDescent="0.2"/>
    <row r="875" spans="6:8" ht="12.75" customHeight="1" x14ac:dyDescent="0.2"/>
    <row r="876" spans="6:8" ht="12.75" customHeight="1" x14ac:dyDescent="0.2"/>
    <row r="877" spans="6:8" ht="12.75" customHeight="1" x14ac:dyDescent="0.2"/>
    <row r="878" spans="6:8" ht="12.75" customHeight="1" x14ac:dyDescent="0.2"/>
    <row r="879" spans="6:8" ht="12.75" customHeight="1" x14ac:dyDescent="0.2"/>
    <row r="880" spans="6:8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dataValidations disablePrompts="1" count="1">
    <dataValidation type="list" allowBlank="1" showErrorMessage="1" sqref="F1" xr:uid="{00000000-0002-0000-0500-000000000000}">
      <formula1>Years</formula1>
    </dataValidation>
  </dataValidations>
  <pageMargins left="0.75" right="0.75" top="1" bottom="1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M1000"/>
  <sheetViews>
    <sheetView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L10" sqref="L10"/>
    </sheetView>
  </sheetViews>
  <sheetFormatPr defaultColWidth="12.5703125" defaultRowHeight="15" customHeight="1" x14ac:dyDescent="0.2"/>
  <cols>
    <col min="1" max="1" width="6.140625" customWidth="1"/>
    <col min="2" max="3" width="8.5703125" customWidth="1"/>
    <col min="4" max="4" width="10.140625" style="74" customWidth="1"/>
    <col min="5" max="5" width="36.28515625" customWidth="1"/>
    <col min="6" max="6" width="13.42578125" customWidth="1"/>
    <col min="7" max="8" width="14.7109375" customWidth="1"/>
    <col min="9" max="9" width="16.85546875" customWidth="1"/>
    <col min="10" max="10" width="14" customWidth="1"/>
    <col min="11" max="11" width="13" customWidth="1"/>
    <col min="12" max="12" width="12.42578125" customWidth="1"/>
    <col min="13" max="26" width="8.5703125" customWidth="1"/>
  </cols>
  <sheetData>
    <row r="1" spans="1:13" ht="12.75" customHeight="1" x14ac:dyDescent="0.2">
      <c r="D1" s="74" t="s">
        <v>107</v>
      </c>
      <c r="E1" s="46" t="s">
        <v>115</v>
      </c>
      <c r="F1" s="40"/>
      <c r="G1" s="40" t="s">
        <v>104</v>
      </c>
      <c r="H1" s="41"/>
      <c r="I1" s="40"/>
      <c r="J1" s="43"/>
    </row>
    <row r="2" spans="1:13" ht="12.75" customHeight="1" x14ac:dyDescent="0.2">
      <c r="D2" s="74" t="s">
        <v>114</v>
      </c>
      <c r="E2" s="46" t="s">
        <v>106</v>
      </c>
      <c r="F2" s="44"/>
      <c r="G2" s="40">
        <v>3</v>
      </c>
      <c r="H2" s="41"/>
      <c r="I2" s="45" t="s">
        <v>41</v>
      </c>
      <c r="J2" s="40" t="s">
        <v>712</v>
      </c>
      <c r="K2" s="50" t="s">
        <v>50</v>
      </c>
      <c r="L2" s="50" t="s">
        <v>704</v>
      </c>
    </row>
    <row r="3" spans="1:13" ht="12.75" customHeight="1" x14ac:dyDescent="0.25">
      <c r="A3" s="29">
        <f>COUNTIF(A5:A65392, "&lt;&gt;")</f>
        <v>257</v>
      </c>
      <c r="B3" s="29">
        <f>MAX(B5:B852)</f>
        <v>2023</v>
      </c>
      <c r="D3" s="87" t="str" cm="1">
        <f t="array" ref="D3">INDEX(D5:D65391, A3)</f>
        <v>1/3/2023</v>
      </c>
      <c r="E3" s="59"/>
      <c r="F3" s="84"/>
      <c r="G3" s="85" t="s">
        <v>40</v>
      </c>
      <c r="H3" s="85" cm="1">
        <f t="array" ref="H3">INDEX(H5:H65391, A3)</f>
        <v>-750</v>
      </c>
      <c r="I3" s="86">
        <v>45168</v>
      </c>
      <c r="J3" s="64">
        <v>5</v>
      </c>
      <c r="K3" s="92">
        <v>35</v>
      </c>
      <c r="L3" s="92">
        <v>2995</v>
      </c>
    </row>
    <row r="4" spans="1:13" ht="12.75" customHeight="1" x14ac:dyDescent="0.2">
      <c r="A4" s="38" t="s">
        <v>42</v>
      </c>
      <c r="B4" s="38" t="s">
        <v>10</v>
      </c>
      <c r="C4" s="38" t="s">
        <v>54</v>
      </c>
      <c r="D4" s="72" t="s">
        <v>43</v>
      </c>
      <c r="E4" s="38" t="s">
        <v>44</v>
      </c>
      <c r="F4" s="42" t="s">
        <v>45</v>
      </c>
      <c r="G4" s="42" t="s">
        <v>46</v>
      </c>
      <c r="H4" s="32" t="s">
        <v>47</v>
      </c>
      <c r="I4" s="38" t="s">
        <v>676</v>
      </c>
    </row>
    <row r="5" spans="1:13" ht="12.75" customHeight="1" x14ac:dyDescent="0.2">
      <c r="A5" s="40">
        <v>10</v>
      </c>
      <c r="B5" s="40">
        <v>2015</v>
      </c>
      <c r="C5" s="40" t="str">
        <f t="shared" ref="C5:C68" si="0">IFERROR("Late Fee "&amp;FIND("Late Fee",E5),IFERROR("Internet "&amp;FIND("Internet",E5),IFERROR("Utilities "&amp;FIND("Utilities",E5),IFERROR("Rent: "&amp;FIND("Rent",E5),IFERROR("Priv Tax: "&amp;FIND("Tax",E5),IFERROR("Income: "&amp;FIND("Payment",E5,1),""))))))</f>
        <v/>
      </c>
      <c r="D5" s="77" t="s">
        <v>231</v>
      </c>
      <c r="E5" s="40" t="s">
        <v>48</v>
      </c>
      <c r="F5" s="41">
        <v>0</v>
      </c>
      <c r="G5" s="41">
        <v>2500</v>
      </c>
      <c r="H5" s="41">
        <f xml:space="preserve"> G5 - F5</f>
        <v>2500</v>
      </c>
      <c r="I5">
        <v>2936</v>
      </c>
    </row>
    <row r="6" spans="1:13" ht="12.75" customHeight="1" x14ac:dyDescent="0.2">
      <c r="A6" s="40">
        <v>10</v>
      </c>
      <c r="B6" s="40">
        <v>2015</v>
      </c>
      <c r="C6" s="40" t="str">
        <f t="shared" si="0"/>
        <v/>
      </c>
      <c r="D6" s="77" t="s">
        <v>231</v>
      </c>
      <c r="E6" s="40" t="s">
        <v>48</v>
      </c>
      <c r="F6" s="41">
        <v>2500</v>
      </c>
      <c r="G6" s="41">
        <v>0</v>
      </c>
      <c r="H6" s="41">
        <f t="shared" ref="H6:H69" si="1" xml:space="preserve"> H5 + G6 - F6</f>
        <v>0</v>
      </c>
      <c r="I6">
        <v>2937</v>
      </c>
    </row>
    <row r="7" spans="1:13" ht="12.75" customHeight="1" x14ac:dyDescent="0.2">
      <c r="A7" s="40">
        <v>11</v>
      </c>
      <c r="B7" s="40">
        <v>2015</v>
      </c>
      <c r="C7" s="40" t="str">
        <f t="shared" si="0"/>
        <v>Income: 1</v>
      </c>
      <c r="D7" s="77" t="s">
        <v>232</v>
      </c>
      <c r="E7" s="40" t="s">
        <v>49</v>
      </c>
      <c r="F7" s="41">
        <v>1896.8333</v>
      </c>
      <c r="G7" s="41">
        <v>0</v>
      </c>
      <c r="H7" s="41">
        <f t="shared" si="1"/>
        <v>-1896.8333</v>
      </c>
      <c r="I7">
        <v>2938</v>
      </c>
    </row>
    <row r="8" spans="1:13" ht="12.75" customHeight="1" x14ac:dyDescent="0.2">
      <c r="A8" s="40">
        <v>11</v>
      </c>
      <c r="B8" s="40">
        <v>2015</v>
      </c>
      <c r="C8" s="40" t="str">
        <f t="shared" si="0"/>
        <v>Rent: 1</v>
      </c>
      <c r="D8" s="77" t="s">
        <v>232</v>
      </c>
      <c r="E8" s="40" t="s">
        <v>55</v>
      </c>
      <c r="F8" s="41">
        <v>0</v>
      </c>
      <c r="G8" s="41">
        <v>1896.8333</v>
      </c>
      <c r="H8" s="41">
        <f t="shared" si="1"/>
        <v>0</v>
      </c>
      <c r="I8" s="88">
        <v>2939</v>
      </c>
    </row>
    <row r="9" spans="1:13" ht="12.75" customHeight="1" x14ac:dyDescent="0.2">
      <c r="A9" s="40">
        <v>12</v>
      </c>
      <c r="B9" s="40">
        <v>2015</v>
      </c>
      <c r="C9" s="40" t="str">
        <f t="shared" si="0"/>
        <v>Rent: 1</v>
      </c>
      <c r="D9" s="77" t="s">
        <v>233</v>
      </c>
      <c r="E9" s="40" t="s">
        <v>234</v>
      </c>
      <c r="F9" s="41">
        <v>0</v>
      </c>
      <c r="G9" s="41">
        <v>2995</v>
      </c>
      <c r="H9" s="41">
        <f t="shared" si="1"/>
        <v>2995</v>
      </c>
      <c r="I9">
        <v>2940</v>
      </c>
      <c r="M9" s="46"/>
    </row>
    <row r="10" spans="1:13" ht="12.75" customHeight="1" x14ac:dyDescent="0.2">
      <c r="A10" s="40">
        <v>12</v>
      </c>
      <c r="B10" s="40">
        <v>2015</v>
      </c>
      <c r="C10" s="40" t="str">
        <f t="shared" si="0"/>
        <v>Income: 1</v>
      </c>
      <c r="D10" s="77" t="s">
        <v>233</v>
      </c>
      <c r="E10" s="40" t="s">
        <v>49</v>
      </c>
      <c r="F10" s="41">
        <v>2995</v>
      </c>
      <c r="G10" s="41">
        <v>0</v>
      </c>
      <c r="H10" s="52">
        <f t="shared" si="1"/>
        <v>0</v>
      </c>
      <c r="I10">
        <v>2941</v>
      </c>
    </row>
    <row r="11" spans="1:13" ht="12.75" customHeight="1" x14ac:dyDescent="0.2">
      <c r="A11" s="40">
        <v>1</v>
      </c>
      <c r="B11" s="40">
        <v>2016</v>
      </c>
      <c r="C11" s="40" t="str">
        <f t="shared" si="0"/>
        <v>Rent: 1</v>
      </c>
      <c r="D11" s="77" t="s">
        <v>235</v>
      </c>
      <c r="E11" s="40" t="s">
        <v>236</v>
      </c>
      <c r="F11" s="41">
        <v>0</v>
      </c>
      <c r="G11" s="41">
        <v>2995</v>
      </c>
      <c r="H11" s="41">
        <f t="shared" si="1"/>
        <v>2995</v>
      </c>
      <c r="I11">
        <v>2942</v>
      </c>
    </row>
    <row r="12" spans="1:13" ht="12.75" customHeight="1" x14ac:dyDescent="0.2">
      <c r="A12" s="40">
        <v>1</v>
      </c>
      <c r="B12" s="40">
        <v>2016</v>
      </c>
      <c r="C12" s="40" t="str">
        <f t="shared" si="0"/>
        <v>Income: 1</v>
      </c>
      <c r="D12" s="77" t="s">
        <v>237</v>
      </c>
      <c r="E12" s="40" t="s">
        <v>49</v>
      </c>
      <c r="F12" s="41">
        <v>1995</v>
      </c>
      <c r="G12" s="41">
        <v>0</v>
      </c>
      <c r="H12" s="41">
        <f t="shared" si="1"/>
        <v>1000</v>
      </c>
      <c r="I12">
        <v>2943</v>
      </c>
    </row>
    <row r="13" spans="1:13" ht="12.75" customHeight="1" x14ac:dyDescent="0.2">
      <c r="A13" s="40">
        <v>1</v>
      </c>
      <c r="B13" s="40">
        <v>2016</v>
      </c>
      <c r="C13" s="40" t="str">
        <f t="shared" si="0"/>
        <v>Income: 1</v>
      </c>
      <c r="D13" s="77" t="s">
        <v>238</v>
      </c>
      <c r="E13" s="40" t="s">
        <v>49</v>
      </c>
      <c r="F13" s="41">
        <v>400</v>
      </c>
      <c r="G13" s="41">
        <v>0</v>
      </c>
      <c r="H13" s="41">
        <f t="shared" si="1"/>
        <v>600</v>
      </c>
      <c r="I13">
        <v>2944</v>
      </c>
    </row>
    <row r="14" spans="1:13" ht="12.75" customHeight="1" x14ac:dyDescent="0.2">
      <c r="A14" s="40">
        <v>1</v>
      </c>
      <c r="B14" s="40">
        <v>2016</v>
      </c>
      <c r="C14" s="40" t="str">
        <f t="shared" si="0"/>
        <v>Income: 1</v>
      </c>
      <c r="D14" s="77" t="s">
        <v>239</v>
      </c>
      <c r="E14" s="40" t="s">
        <v>49</v>
      </c>
      <c r="F14" s="41">
        <v>600</v>
      </c>
      <c r="G14" s="41">
        <v>0</v>
      </c>
      <c r="H14" s="41">
        <f t="shared" si="1"/>
        <v>0</v>
      </c>
      <c r="I14">
        <v>2945</v>
      </c>
    </row>
    <row r="15" spans="1:13" ht="12.75" customHeight="1" x14ac:dyDescent="0.2">
      <c r="A15" s="40">
        <v>2</v>
      </c>
      <c r="B15" s="40">
        <v>2016</v>
      </c>
      <c r="C15" s="40" t="str">
        <f t="shared" si="0"/>
        <v>Rent: 1</v>
      </c>
      <c r="D15" s="77" t="s">
        <v>240</v>
      </c>
      <c r="E15" s="40" t="s">
        <v>241</v>
      </c>
      <c r="F15" s="41">
        <v>0</v>
      </c>
      <c r="G15" s="41">
        <v>2995</v>
      </c>
      <c r="H15" s="41">
        <f t="shared" si="1"/>
        <v>2995</v>
      </c>
      <c r="I15">
        <v>2946</v>
      </c>
    </row>
    <row r="16" spans="1:13" ht="12.75" customHeight="1" x14ac:dyDescent="0.2">
      <c r="A16" s="40">
        <v>2</v>
      </c>
      <c r="B16" s="40">
        <v>2016</v>
      </c>
      <c r="C16" s="40" t="str">
        <f t="shared" si="0"/>
        <v>Income: 1</v>
      </c>
      <c r="D16" s="77" t="s">
        <v>240</v>
      </c>
      <c r="E16" s="40" t="s">
        <v>49</v>
      </c>
      <c r="F16" s="41">
        <v>1000</v>
      </c>
      <c r="G16" s="41">
        <v>0</v>
      </c>
      <c r="H16" s="41">
        <f t="shared" si="1"/>
        <v>1995</v>
      </c>
      <c r="I16">
        <v>2947</v>
      </c>
    </row>
    <row r="17" spans="1:9" ht="12.75" customHeight="1" x14ac:dyDescent="0.2">
      <c r="A17" s="40">
        <v>2</v>
      </c>
      <c r="B17" s="40">
        <v>2016</v>
      </c>
      <c r="C17" s="40" t="str">
        <f t="shared" si="0"/>
        <v>Income: 1</v>
      </c>
      <c r="D17" s="77" t="s">
        <v>240</v>
      </c>
      <c r="E17" s="40" t="s">
        <v>49</v>
      </c>
      <c r="F17" s="41">
        <v>1995</v>
      </c>
      <c r="G17" s="41">
        <v>0</v>
      </c>
      <c r="H17" s="41">
        <f t="shared" si="1"/>
        <v>0</v>
      </c>
      <c r="I17">
        <v>2948</v>
      </c>
    </row>
    <row r="18" spans="1:9" ht="12.75" customHeight="1" x14ac:dyDescent="0.2">
      <c r="A18" s="40">
        <v>3</v>
      </c>
      <c r="B18" s="40">
        <v>2016</v>
      </c>
      <c r="C18" s="40" t="str">
        <f t="shared" si="0"/>
        <v>Rent: 1</v>
      </c>
      <c r="D18" s="77" t="s">
        <v>242</v>
      </c>
      <c r="E18" s="40" t="s">
        <v>243</v>
      </c>
      <c r="F18" s="41">
        <v>0</v>
      </c>
      <c r="G18" s="41">
        <v>2995</v>
      </c>
      <c r="H18" s="41">
        <f t="shared" si="1"/>
        <v>2995</v>
      </c>
      <c r="I18">
        <v>2949</v>
      </c>
    </row>
    <row r="19" spans="1:9" ht="12.75" customHeight="1" x14ac:dyDescent="0.2">
      <c r="A19" s="40">
        <v>2</v>
      </c>
      <c r="B19" s="40">
        <v>2016</v>
      </c>
      <c r="C19" s="40" t="str">
        <f t="shared" si="0"/>
        <v>Income: 1</v>
      </c>
      <c r="D19" s="77" t="s">
        <v>244</v>
      </c>
      <c r="E19" s="40" t="s">
        <v>49</v>
      </c>
      <c r="F19" s="41">
        <v>1400</v>
      </c>
      <c r="G19" s="41">
        <v>0</v>
      </c>
      <c r="H19" s="41">
        <f t="shared" si="1"/>
        <v>1595</v>
      </c>
      <c r="I19">
        <v>2950</v>
      </c>
    </row>
    <row r="20" spans="1:9" ht="12.75" customHeight="1" x14ac:dyDescent="0.2">
      <c r="A20" s="40">
        <v>2</v>
      </c>
      <c r="B20" s="40">
        <v>2016</v>
      </c>
      <c r="C20" s="40" t="str">
        <f t="shared" si="0"/>
        <v>Income: 1</v>
      </c>
      <c r="D20" s="77" t="s">
        <v>244</v>
      </c>
      <c r="E20" s="40" t="s">
        <v>49</v>
      </c>
      <c r="F20" s="41">
        <v>1572.82</v>
      </c>
      <c r="G20" s="41">
        <v>0</v>
      </c>
      <c r="H20" s="41">
        <f t="shared" si="1"/>
        <v>22.180000000000064</v>
      </c>
      <c r="I20">
        <v>2951</v>
      </c>
    </row>
    <row r="21" spans="1:9" ht="12.75" customHeight="1" x14ac:dyDescent="0.2">
      <c r="A21" s="40">
        <v>2</v>
      </c>
      <c r="B21" s="40">
        <v>2016</v>
      </c>
      <c r="C21" s="40" t="str">
        <f t="shared" si="0"/>
        <v/>
      </c>
      <c r="D21" s="77" t="s">
        <v>244</v>
      </c>
      <c r="E21" s="40" t="s">
        <v>56</v>
      </c>
      <c r="F21" s="41">
        <v>22.18</v>
      </c>
      <c r="G21" s="41">
        <v>0</v>
      </c>
      <c r="H21" s="41">
        <f t="shared" si="1"/>
        <v>6.3948846218409017E-14</v>
      </c>
      <c r="I21" s="28">
        <v>2952</v>
      </c>
    </row>
    <row r="22" spans="1:9" ht="12" customHeight="1" x14ac:dyDescent="0.2">
      <c r="A22" s="40">
        <v>4</v>
      </c>
      <c r="B22" s="40">
        <v>2016</v>
      </c>
      <c r="C22" s="40" t="str">
        <f t="shared" si="0"/>
        <v>Rent: 1</v>
      </c>
      <c r="D22" s="77" t="s">
        <v>245</v>
      </c>
      <c r="E22" s="40" t="s">
        <v>246</v>
      </c>
      <c r="F22" s="41">
        <v>0</v>
      </c>
      <c r="G22" s="41">
        <v>2995</v>
      </c>
      <c r="H22" s="41">
        <f t="shared" si="1"/>
        <v>2995</v>
      </c>
      <c r="I22" s="28">
        <v>2953</v>
      </c>
    </row>
    <row r="23" spans="1:9" ht="12.75" customHeight="1" x14ac:dyDescent="0.2">
      <c r="A23" s="40">
        <v>3</v>
      </c>
      <c r="B23" s="40">
        <v>2016</v>
      </c>
      <c r="C23" s="40" t="str">
        <f t="shared" si="0"/>
        <v>Income: 1</v>
      </c>
      <c r="D23" s="77" t="s">
        <v>247</v>
      </c>
      <c r="E23" s="40" t="s">
        <v>49</v>
      </c>
      <c r="F23" s="41">
        <v>1000</v>
      </c>
      <c r="G23" s="41">
        <v>0</v>
      </c>
      <c r="H23" s="41">
        <f t="shared" si="1"/>
        <v>1995</v>
      </c>
      <c r="I23">
        <v>2954</v>
      </c>
    </row>
    <row r="24" spans="1:9" ht="12.75" customHeight="1" x14ac:dyDescent="0.2">
      <c r="A24" s="40">
        <v>3</v>
      </c>
      <c r="B24" s="40">
        <v>2016</v>
      </c>
      <c r="C24" s="40" t="str">
        <f t="shared" si="0"/>
        <v>Income: 1</v>
      </c>
      <c r="D24" s="77" t="s">
        <v>247</v>
      </c>
      <c r="E24" s="40" t="s">
        <v>49</v>
      </c>
      <c r="F24" s="41">
        <v>1995</v>
      </c>
      <c r="G24" s="41">
        <v>0</v>
      </c>
      <c r="H24" s="41">
        <f t="shared" si="1"/>
        <v>0</v>
      </c>
      <c r="I24">
        <v>2955</v>
      </c>
    </row>
    <row r="25" spans="1:9" ht="12.75" customHeight="1" x14ac:dyDescent="0.2">
      <c r="A25" s="40">
        <v>5</v>
      </c>
      <c r="B25" s="40">
        <v>2016</v>
      </c>
      <c r="C25" s="40" t="str">
        <f t="shared" si="0"/>
        <v>Rent: 1</v>
      </c>
      <c r="D25" s="77" t="s">
        <v>248</v>
      </c>
      <c r="E25" s="40" t="s">
        <v>249</v>
      </c>
      <c r="F25" s="41">
        <v>0</v>
      </c>
      <c r="G25" s="41">
        <v>2995</v>
      </c>
      <c r="H25" s="41">
        <f t="shared" si="1"/>
        <v>2995</v>
      </c>
      <c r="I25">
        <v>2956</v>
      </c>
    </row>
    <row r="26" spans="1:9" ht="12.75" customHeight="1" x14ac:dyDescent="0.2">
      <c r="A26" s="40">
        <v>5</v>
      </c>
      <c r="B26" s="40">
        <v>2016</v>
      </c>
      <c r="C26" s="40" t="str">
        <f t="shared" si="0"/>
        <v>Income: 1</v>
      </c>
      <c r="D26" s="77" t="s">
        <v>250</v>
      </c>
      <c r="E26" s="40" t="s">
        <v>49</v>
      </c>
      <c r="F26" s="41">
        <v>1182.58</v>
      </c>
      <c r="G26" s="41">
        <v>0</v>
      </c>
      <c r="H26" s="41">
        <f t="shared" si="1"/>
        <v>1812.42</v>
      </c>
      <c r="I26">
        <v>2957</v>
      </c>
    </row>
    <row r="27" spans="1:9" ht="12.75" customHeight="1" x14ac:dyDescent="0.2">
      <c r="A27" s="40">
        <v>5</v>
      </c>
      <c r="B27" s="40">
        <v>2016</v>
      </c>
      <c r="C27" s="40" t="str">
        <f t="shared" si="0"/>
        <v>Income: 1</v>
      </c>
      <c r="D27" s="77" t="s">
        <v>250</v>
      </c>
      <c r="E27" s="40" t="s">
        <v>49</v>
      </c>
      <c r="F27" s="41">
        <v>1812.42</v>
      </c>
      <c r="G27" s="41">
        <v>0</v>
      </c>
      <c r="H27" s="41">
        <f t="shared" si="1"/>
        <v>0</v>
      </c>
      <c r="I27">
        <v>2958</v>
      </c>
    </row>
    <row r="28" spans="1:9" ht="12.75" customHeight="1" x14ac:dyDescent="0.2">
      <c r="A28" s="40">
        <v>6</v>
      </c>
      <c r="B28" s="40">
        <v>2016</v>
      </c>
      <c r="C28" s="40" t="str">
        <f t="shared" si="0"/>
        <v>Rent: 1</v>
      </c>
      <c r="D28" s="77" t="s">
        <v>251</v>
      </c>
      <c r="E28" s="40" t="s">
        <v>252</v>
      </c>
      <c r="F28" s="41">
        <v>0</v>
      </c>
      <c r="G28" s="41">
        <v>2995</v>
      </c>
      <c r="H28" s="41">
        <f t="shared" si="1"/>
        <v>2995</v>
      </c>
      <c r="I28">
        <v>2959</v>
      </c>
    </row>
    <row r="29" spans="1:9" ht="12.75" customHeight="1" x14ac:dyDescent="0.2">
      <c r="A29" s="40">
        <v>6</v>
      </c>
      <c r="B29" s="40">
        <v>2016</v>
      </c>
      <c r="C29" s="40" t="str">
        <f t="shared" si="0"/>
        <v>Income: 1</v>
      </c>
      <c r="D29" s="77" t="s">
        <v>251</v>
      </c>
      <c r="E29" s="40" t="s">
        <v>49</v>
      </c>
      <c r="F29" s="41">
        <v>1821</v>
      </c>
      <c r="G29" s="41">
        <v>0</v>
      </c>
      <c r="H29" s="41">
        <f t="shared" si="1"/>
        <v>1174</v>
      </c>
      <c r="I29">
        <v>2960</v>
      </c>
    </row>
    <row r="30" spans="1:9" ht="12.75" customHeight="1" x14ac:dyDescent="0.2">
      <c r="A30" s="40">
        <v>6</v>
      </c>
      <c r="B30" s="40">
        <v>2016</v>
      </c>
      <c r="C30" s="40" t="str">
        <f t="shared" si="0"/>
        <v>Income: 1</v>
      </c>
      <c r="D30" s="77" t="s">
        <v>253</v>
      </c>
      <c r="E30" s="40" t="s">
        <v>49</v>
      </c>
      <c r="F30" s="41">
        <v>1174</v>
      </c>
      <c r="G30" s="41">
        <v>0</v>
      </c>
      <c r="H30" s="41">
        <f t="shared" si="1"/>
        <v>0</v>
      </c>
      <c r="I30">
        <v>2961</v>
      </c>
    </row>
    <row r="31" spans="1:9" ht="12.75" customHeight="1" x14ac:dyDescent="0.2">
      <c r="A31" s="40">
        <v>7</v>
      </c>
      <c r="B31" s="40">
        <v>2016</v>
      </c>
      <c r="C31" s="40" t="str">
        <f t="shared" si="0"/>
        <v>Rent: 1</v>
      </c>
      <c r="D31" s="77" t="s">
        <v>254</v>
      </c>
      <c r="E31" s="40" t="s">
        <v>255</v>
      </c>
      <c r="F31" s="41">
        <v>0</v>
      </c>
      <c r="G31" s="41">
        <v>2995</v>
      </c>
      <c r="H31" s="41">
        <f t="shared" si="1"/>
        <v>2995</v>
      </c>
      <c r="I31">
        <v>2962</v>
      </c>
    </row>
    <row r="32" spans="1:9" ht="12.75" customHeight="1" x14ac:dyDescent="0.2">
      <c r="A32" s="40">
        <v>6</v>
      </c>
      <c r="B32" s="40">
        <v>2016</v>
      </c>
      <c r="C32" s="40" t="str">
        <f t="shared" si="0"/>
        <v>Income: 1</v>
      </c>
      <c r="D32" s="77" t="s">
        <v>256</v>
      </c>
      <c r="E32" s="40" t="s">
        <v>49</v>
      </c>
      <c r="F32" s="41">
        <v>1495</v>
      </c>
      <c r="G32" s="41">
        <v>0</v>
      </c>
      <c r="H32" s="41">
        <f t="shared" si="1"/>
        <v>1500</v>
      </c>
      <c r="I32">
        <v>2963</v>
      </c>
    </row>
    <row r="33" spans="1:11" ht="12.75" customHeight="1" x14ac:dyDescent="0.2">
      <c r="A33" s="40">
        <v>6</v>
      </c>
      <c r="B33" s="40">
        <v>2016</v>
      </c>
      <c r="C33" s="40" t="str">
        <f t="shared" si="0"/>
        <v>Income: 1</v>
      </c>
      <c r="D33" s="77" t="s">
        <v>256</v>
      </c>
      <c r="E33" s="40" t="s">
        <v>49</v>
      </c>
      <c r="F33" s="41">
        <v>1500</v>
      </c>
      <c r="G33" s="41">
        <v>0</v>
      </c>
      <c r="H33" s="41">
        <f t="shared" si="1"/>
        <v>0</v>
      </c>
      <c r="I33">
        <v>2964</v>
      </c>
    </row>
    <row r="34" spans="1:11" ht="12.75" customHeight="1" x14ac:dyDescent="0.2">
      <c r="A34" s="40">
        <v>8</v>
      </c>
      <c r="B34" s="40">
        <v>2016</v>
      </c>
      <c r="C34" s="40" t="str">
        <f t="shared" si="0"/>
        <v>Rent: 1</v>
      </c>
      <c r="D34" s="77" t="s">
        <v>257</v>
      </c>
      <c r="E34" s="40" t="s">
        <v>258</v>
      </c>
      <c r="F34" s="41">
        <v>0</v>
      </c>
      <c r="G34" s="41">
        <v>2995</v>
      </c>
      <c r="H34" s="41">
        <f t="shared" si="1"/>
        <v>2995</v>
      </c>
      <c r="I34">
        <v>2965</v>
      </c>
    </row>
    <row r="35" spans="1:11" ht="12.75" customHeight="1" x14ac:dyDescent="0.2">
      <c r="A35" s="40">
        <v>8</v>
      </c>
      <c r="B35" s="40">
        <v>2016</v>
      </c>
      <c r="C35" s="40" t="str">
        <f t="shared" si="0"/>
        <v>Income: 1</v>
      </c>
      <c r="D35" s="77" t="s">
        <v>257</v>
      </c>
      <c r="E35" s="40" t="s">
        <v>49</v>
      </c>
      <c r="F35" s="41">
        <v>2995</v>
      </c>
      <c r="G35" s="41">
        <v>0</v>
      </c>
      <c r="H35" s="41">
        <f t="shared" si="1"/>
        <v>0</v>
      </c>
      <c r="I35">
        <v>2966</v>
      </c>
    </row>
    <row r="36" spans="1:11" ht="12.75" customHeight="1" x14ac:dyDescent="0.2">
      <c r="A36" s="40">
        <v>9</v>
      </c>
      <c r="B36" s="40">
        <v>2016</v>
      </c>
      <c r="C36" s="40" t="str">
        <f t="shared" si="0"/>
        <v>Rent: 1</v>
      </c>
      <c r="D36" s="77" t="s">
        <v>259</v>
      </c>
      <c r="E36" s="40" t="s">
        <v>260</v>
      </c>
      <c r="F36" s="41">
        <v>0</v>
      </c>
      <c r="G36" s="41">
        <v>2995</v>
      </c>
      <c r="H36" s="41">
        <f t="shared" si="1"/>
        <v>2995</v>
      </c>
      <c r="I36">
        <v>2967</v>
      </c>
    </row>
    <row r="37" spans="1:11" ht="12.75" customHeight="1" x14ac:dyDescent="0.2">
      <c r="A37" s="40">
        <v>9</v>
      </c>
      <c r="B37" s="40">
        <v>2016</v>
      </c>
      <c r="C37" s="40" t="str">
        <f t="shared" si="0"/>
        <v>Income: 1</v>
      </c>
      <c r="D37" s="77" t="s">
        <v>259</v>
      </c>
      <c r="E37" s="40" t="s">
        <v>49</v>
      </c>
      <c r="F37" s="41">
        <v>2995</v>
      </c>
      <c r="G37" s="41">
        <v>0</v>
      </c>
      <c r="H37" s="41">
        <f t="shared" si="1"/>
        <v>0</v>
      </c>
      <c r="I37">
        <v>2968</v>
      </c>
    </row>
    <row r="38" spans="1:11" ht="12.75" customHeight="1" x14ac:dyDescent="0.2">
      <c r="A38" s="40">
        <v>10</v>
      </c>
      <c r="B38" s="40">
        <v>2016</v>
      </c>
      <c r="C38" s="40" t="str">
        <f t="shared" si="0"/>
        <v>Rent: 1</v>
      </c>
      <c r="D38" s="77" t="s">
        <v>261</v>
      </c>
      <c r="E38" s="40" t="s">
        <v>262</v>
      </c>
      <c r="F38" s="41">
        <v>0</v>
      </c>
      <c r="G38" s="41">
        <v>2995</v>
      </c>
      <c r="H38" s="41">
        <f t="shared" si="1"/>
        <v>2995</v>
      </c>
      <c r="I38">
        <v>2969</v>
      </c>
    </row>
    <row r="39" spans="1:11" ht="12.75" customHeight="1" x14ac:dyDescent="0.2">
      <c r="A39" s="40">
        <v>10</v>
      </c>
      <c r="B39" s="40">
        <v>2016</v>
      </c>
      <c r="C39" s="40" t="str">
        <f t="shared" si="0"/>
        <v>Income: 1</v>
      </c>
      <c r="D39" s="77" t="s">
        <v>263</v>
      </c>
      <c r="E39" s="40" t="s">
        <v>49</v>
      </c>
      <c r="F39" s="41">
        <v>500</v>
      </c>
      <c r="G39" s="41">
        <v>0</v>
      </c>
      <c r="H39" s="41">
        <f t="shared" si="1"/>
        <v>2495</v>
      </c>
      <c r="I39">
        <v>2970</v>
      </c>
    </row>
    <row r="40" spans="1:11" ht="12.75" customHeight="1" x14ac:dyDescent="0.2">
      <c r="A40" s="40">
        <v>10</v>
      </c>
      <c r="B40" s="40">
        <v>2016</v>
      </c>
      <c r="C40" s="40" t="str">
        <f t="shared" si="0"/>
        <v>Income: 1</v>
      </c>
      <c r="D40" s="77" t="s">
        <v>263</v>
      </c>
      <c r="E40" s="40" t="s">
        <v>49</v>
      </c>
      <c r="F40" s="41">
        <v>2495</v>
      </c>
      <c r="G40" s="41">
        <v>0</v>
      </c>
      <c r="H40" s="41">
        <f t="shared" si="1"/>
        <v>0</v>
      </c>
      <c r="I40">
        <v>2971</v>
      </c>
    </row>
    <row r="41" spans="1:11" ht="12.75" customHeight="1" x14ac:dyDescent="0.2">
      <c r="A41" s="40">
        <v>11</v>
      </c>
      <c r="B41" s="40">
        <v>2016</v>
      </c>
      <c r="C41" s="40" t="str">
        <f t="shared" si="0"/>
        <v>Rent: 1</v>
      </c>
      <c r="D41" s="77" t="s">
        <v>264</v>
      </c>
      <c r="E41" s="40" t="s">
        <v>265</v>
      </c>
      <c r="F41" s="41">
        <v>0</v>
      </c>
      <c r="G41" s="41">
        <v>2995</v>
      </c>
      <c r="H41" s="41">
        <f t="shared" si="1"/>
        <v>2995</v>
      </c>
      <c r="I41">
        <v>2972</v>
      </c>
    </row>
    <row r="42" spans="1:11" ht="12.75" customHeight="1" x14ac:dyDescent="0.2">
      <c r="A42" s="40">
        <v>11</v>
      </c>
      <c r="B42" s="40">
        <v>2016</v>
      </c>
      <c r="C42" s="40" t="str">
        <f t="shared" si="0"/>
        <v>Income: 1</v>
      </c>
      <c r="D42" s="77" t="s">
        <v>264</v>
      </c>
      <c r="E42" s="40" t="s">
        <v>49</v>
      </c>
      <c r="F42" s="41">
        <v>775</v>
      </c>
      <c r="G42" s="41">
        <v>0</v>
      </c>
      <c r="H42" s="41">
        <f t="shared" si="1"/>
        <v>2220</v>
      </c>
      <c r="I42">
        <v>2973</v>
      </c>
    </row>
    <row r="43" spans="1:11" ht="12.75" customHeight="1" x14ac:dyDescent="0.2">
      <c r="A43" s="40">
        <v>11</v>
      </c>
      <c r="B43" s="40">
        <v>2016</v>
      </c>
      <c r="C43" s="40" t="str">
        <f t="shared" si="0"/>
        <v>Income: 1</v>
      </c>
      <c r="D43" s="77" t="s">
        <v>264</v>
      </c>
      <c r="E43" s="40" t="s">
        <v>49</v>
      </c>
      <c r="F43" s="41">
        <v>2220</v>
      </c>
      <c r="G43" s="41">
        <v>0</v>
      </c>
      <c r="H43" s="41">
        <f t="shared" si="1"/>
        <v>0</v>
      </c>
      <c r="I43">
        <v>2974</v>
      </c>
    </row>
    <row r="44" spans="1:11" ht="12.75" customHeight="1" x14ac:dyDescent="0.2">
      <c r="A44" s="40">
        <v>12</v>
      </c>
      <c r="B44" s="40">
        <v>2016</v>
      </c>
      <c r="C44" s="40" t="str">
        <f t="shared" si="0"/>
        <v>Rent: 1</v>
      </c>
      <c r="D44" s="77" t="s">
        <v>266</v>
      </c>
      <c r="E44" s="40" t="s">
        <v>267</v>
      </c>
      <c r="F44" s="41">
        <v>0</v>
      </c>
      <c r="G44" s="41">
        <v>2995</v>
      </c>
      <c r="H44" s="41">
        <f t="shared" si="1"/>
        <v>2995</v>
      </c>
      <c r="I44">
        <v>2975</v>
      </c>
    </row>
    <row r="45" spans="1:11" ht="12.75" customHeight="1" x14ac:dyDescent="0.2">
      <c r="A45" s="40">
        <v>12</v>
      </c>
      <c r="B45" s="40">
        <v>2016</v>
      </c>
      <c r="C45" s="40" t="str">
        <f t="shared" si="0"/>
        <v>Income: 1</v>
      </c>
      <c r="D45" s="77" t="s">
        <v>266</v>
      </c>
      <c r="E45" s="40" t="s">
        <v>49</v>
      </c>
      <c r="F45" s="41">
        <v>2995</v>
      </c>
      <c r="G45" s="41">
        <v>0</v>
      </c>
      <c r="H45" s="41">
        <f t="shared" si="1"/>
        <v>0</v>
      </c>
      <c r="I45">
        <v>2976</v>
      </c>
    </row>
    <row r="46" spans="1:11" ht="12.75" customHeight="1" x14ac:dyDescent="0.2">
      <c r="A46" s="40">
        <v>1</v>
      </c>
      <c r="B46" s="40">
        <v>2017</v>
      </c>
      <c r="C46" s="40" t="str">
        <f t="shared" si="0"/>
        <v>Rent: 1</v>
      </c>
      <c r="D46" s="77" t="s">
        <v>268</v>
      </c>
      <c r="E46" s="40" t="s">
        <v>269</v>
      </c>
      <c r="F46" s="41">
        <v>0</v>
      </c>
      <c r="G46" s="41">
        <v>2995</v>
      </c>
      <c r="H46" s="41">
        <f t="shared" si="1"/>
        <v>2995</v>
      </c>
      <c r="I46" s="29">
        <v>2977</v>
      </c>
      <c r="J46" s="29"/>
    </row>
    <row r="47" spans="1:11" ht="12.75" customHeight="1" x14ac:dyDescent="0.2">
      <c r="A47" s="40">
        <v>12</v>
      </c>
      <c r="B47" s="40">
        <v>2016</v>
      </c>
      <c r="C47" s="40" t="str">
        <f t="shared" si="0"/>
        <v>Income: 1</v>
      </c>
      <c r="D47" s="77" t="s">
        <v>270</v>
      </c>
      <c r="E47" s="40" t="s">
        <v>49</v>
      </c>
      <c r="F47" s="41">
        <v>1995</v>
      </c>
      <c r="G47" s="41">
        <v>0</v>
      </c>
      <c r="H47" s="41">
        <f t="shared" si="1"/>
        <v>1000</v>
      </c>
      <c r="I47" s="28">
        <v>2978</v>
      </c>
      <c r="J47" s="14"/>
      <c r="K47" s="29"/>
    </row>
    <row r="48" spans="1:11" ht="12.75" customHeight="1" x14ac:dyDescent="0.2">
      <c r="A48" s="40">
        <v>12</v>
      </c>
      <c r="B48" s="40">
        <v>2016</v>
      </c>
      <c r="C48" s="40" t="str">
        <f t="shared" si="0"/>
        <v>Income: 1</v>
      </c>
      <c r="D48" s="77" t="s">
        <v>270</v>
      </c>
      <c r="E48" s="40" t="s">
        <v>49</v>
      </c>
      <c r="F48" s="41">
        <v>1000</v>
      </c>
      <c r="G48" s="41">
        <v>0</v>
      </c>
      <c r="H48" s="41">
        <f t="shared" si="1"/>
        <v>0</v>
      </c>
      <c r="I48" s="29">
        <v>2979</v>
      </c>
    </row>
    <row r="49" spans="1:10" ht="12.75" customHeight="1" x14ac:dyDescent="0.2">
      <c r="A49" s="40">
        <v>2</v>
      </c>
      <c r="B49" s="40">
        <v>2017</v>
      </c>
      <c r="C49" s="40" t="str">
        <f t="shared" si="0"/>
        <v>Rent: 1</v>
      </c>
      <c r="D49" s="77" t="s">
        <v>271</v>
      </c>
      <c r="E49" s="40" t="s">
        <v>272</v>
      </c>
      <c r="F49" s="41">
        <v>0</v>
      </c>
      <c r="G49" s="41">
        <v>2995</v>
      </c>
      <c r="H49" s="41">
        <f t="shared" si="1"/>
        <v>2995</v>
      </c>
      <c r="I49" s="28">
        <v>2980</v>
      </c>
      <c r="J49" s="14"/>
    </row>
    <row r="50" spans="1:10" ht="12.75" customHeight="1" x14ac:dyDescent="0.2">
      <c r="A50" s="40">
        <v>2</v>
      </c>
      <c r="B50" s="40">
        <v>2017</v>
      </c>
      <c r="C50" s="40" t="str">
        <f t="shared" si="0"/>
        <v>Income: 1</v>
      </c>
      <c r="D50" s="77" t="s">
        <v>271</v>
      </c>
      <c r="E50" s="40" t="s">
        <v>49</v>
      </c>
      <c r="F50" s="41">
        <v>2995</v>
      </c>
      <c r="G50" s="41">
        <v>0</v>
      </c>
      <c r="H50" s="41">
        <f t="shared" si="1"/>
        <v>0</v>
      </c>
      <c r="I50">
        <v>2981</v>
      </c>
    </row>
    <row r="51" spans="1:10" ht="12.75" customHeight="1" x14ac:dyDescent="0.2">
      <c r="A51" s="40">
        <v>3</v>
      </c>
      <c r="B51" s="40">
        <v>2017</v>
      </c>
      <c r="C51" s="40" t="str">
        <f t="shared" si="0"/>
        <v>Rent: 1</v>
      </c>
      <c r="D51" s="77" t="s">
        <v>273</v>
      </c>
      <c r="E51" s="40" t="s">
        <v>274</v>
      </c>
      <c r="F51" s="41">
        <v>0</v>
      </c>
      <c r="G51" s="41">
        <v>2995</v>
      </c>
      <c r="H51" s="41">
        <f t="shared" si="1"/>
        <v>2995</v>
      </c>
      <c r="I51">
        <v>2982</v>
      </c>
    </row>
    <row r="52" spans="1:10" ht="12.75" customHeight="1" x14ac:dyDescent="0.2">
      <c r="A52" s="40">
        <v>3</v>
      </c>
      <c r="B52" s="40">
        <v>2017</v>
      </c>
      <c r="C52" s="40" t="str">
        <f t="shared" si="0"/>
        <v>Income: 1</v>
      </c>
      <c r="D52" s="77" t="s">
        <v>273</v>
      </c>
      <c r="E52" s="40" t="s">
        <v>49</v>
      </c>
      <c r="F52" s="41">
        <v>2995</v>
      </c>
      <c r="G52" s="41">
        <v>0</v>
      </c>
      <c r="H52" s="41">
        <f t="shared" si="1"/>
        <v>0</v>
      </c>
      <c r="I52">
        <v>2983</v>
      </c>
    </row>
    <row r="53" spans="1:10" ht="12.75" customHeight="1" x14ac:dyDescent="0.2">
      <c r="A53" s="40">
        <v>4</v>
      </c>
      <c r="B53" s="40">
        <v>2017</v>
      </c>
      <c r="C53" s="40" t="str">
        <f t="shared" si="0"/>
        <v>Rent: 1</v>
      </c>
      <c r="D53" s="77" t="s">
        <v>275</v>
      </c>
      <c r="E53" s="40" t="s">
        <v>276</v>
      </c>
      <c r="F53" s="41">
        <v>0</v>
      </c>
      <c r="G53" s="41">
        <v>2995</v>
      </c>
      <c r="H53" s="41">
        <f t="shared" si="1"/>
        <v>2995</v>
      </c>
      <c r="I53">
        <v>2984</v>
      </c>
    </row>
    <row r="54" spans="1:10" ht="12.75" customHeight="1" x14ac:dyDescent="0.2">
      <c r="A54" s="40">
        <v>3</v>
      </c>
      <c r="B54" s="40">
        <v>2017</v>
      </c>
      <c r="C54" s="40" t="str">
        <f t="shared" si="0"/>
        <v>Income: 1</v>
      </c>
      <c r="D54" s="77" t="s">
        <v>277</v>
      </c>
      <c r="E54" s="40" t="s">
        <v>49</v>
      </c>
      <c r="F54" s="41">
        <v>2995</v>
      </c>
      <c r="G54" s="41">
        <v>0</v>
      </c>
      <c r="H54" s="41">
        <f t="shared" si="1"/>
        <v>0</v>
      </c>
      <c r="I54">
        <v>2985</v>
      </c>
    </row>
    <row r="55" spans="1:10" ht="12.75" customHeight="1" x14ac:dyDescent="0.2">
      <c r="A55" s="40">
        <v>5</v>
      </c>
      <c r="B55" s="40">
        <v>2017</v>
      </c>
      <c r="C55" s="40" t="str">
        <f t="shared" si="0"/>
        <v>Rent: 1</v>
      </c>
      <c r="D55" s="77" t="s">
        <v>278</v>
      </c>
      <c r="E55" s="40" t="s">
        <v>279</v>
      </c>
      <c r="F55" s="41">
        <v>0</v>
      </c>
      <c r="G55" s="41">
        <v>2995</v>
      </c>
      <c r="H55" s="41">
        <f t="shared" si="1"/>
        <v>2995</v>
      </c>
      <c r="I55">
        <v>2986</v>
      </c>
    </row>
    <row r="56" spans="1:10" ht="12.75" customHeight="1" x14ac:dyDescent="0.2">
      <c r="A56" s="40">
        <v>5</v>
      </c>
      <c r="B56" s="40">
        <v>2017</v>
      </c>
      <c r="C56" s="40" t="str">
        <f t="shared" si="0"/>
        <v>Income: 1</v>
      </c>
      <c r="D56" s="77" t="s">
        <v>278</v>
      </c>
      <c r="E56" s="40" t="s">
        <v>49</v>
      </c>
      <c r="F56" s="41">
        <v>2995</v>
      </c>
      <c r="G56" s="41">
        <v>0</v>
      </c>
      <c r="H56" s="41">
        <f t="shared" si="1"/>
        <v>0</v>
      </c>
      <c r="I56">
        <v>2987</v>
      </c>
    </row>
    <row r="57" spans="1:10" ht="12.75" customHeight="1" x14ac:dyDescent="0.2">
      <c r="A57" s="40">
        <v>6</v>
      </c>
      <c r="B57" s="40">
        <v>2017</v>
      </c>
      <c r="C57" s="40" t="str">
        <f t="shared" si="0"/>
        <v>Rent: 1</v>
      </c>
      <c r="D57" s="77" t="s">
        <v>280</v>
      </c>
      <c r="E57" s="40" t="s">
        <v>281</v>
      </c>
      <c r="F57" s="41">
        <v>0</v>
      </c>
      <c r="G57" s="41">
        <v>2995</v>
      </c>
      <c r="H57" s="41">
        <f t="shared" si="1"/>
        <v>2995</v>
      </c>
      <c r="I57">
        <v>2988</v>
      </c>
    </row>
    <row r="58" spans="1:10" ht="12.75" customHeight="1" x14ac:dyDescent="0.2">
      <c r="A58" s="40">
        <v>6</v>
      </c>
      <c r="B58" s="40">
        <v>2017</v>
      </c>
      <c r="C58" s="40" t="str">
        <f t="shared" si="0"/>
        <v>Income: 1</v>
      </c>
      <c r="D58" s="77" t="s">
        <v>280</v>
      </c>
      <c r="E58" s="40" t="s">
        <v>49</v>
      </c>
      <c r="F58" s="41">
        <v>2995</v>
      </c>
      <c r="G58" s="41">
        <v>0</v>
      </c>
      <c r="H58" s="41">
        <f t="shared" si="1"/>
        <v>0</v>
      </c>
      <c r="I58">
        <v>2989</v>
      </c>
    </row>
    <row r="59" spans="1:10" ht="12.75" customHeight="1" x14ac:dyDescent="0.2">
      <c r="A59" s="40">
        <v>7</v>
      </c>
      <c r="B59" s="40">
        <v>2017</v>
      </c>
      <c r="C59" s="40" t="str">
        <f t="shared" si="0"/>
        <v>Rent: 1</v>
      </c>
      <c r="D59" s="77" t="s">
        <v>282</v>
      </c>
      <c r="E59" s="40" t="s">
        <v>283</v>
      </c>
      <c r="F59" s="41">
        <v>0</v>
      </c>
      <c r="G59" s="41">
        <v>2995</v>
      </c>
      <c r="H59" s="41">
        <f t="shared" si="1"/>
        <v>2995</v>
      </c>
      <c r="I59">
        <v>2990</v>
      </c>
    </row>
    <row r="60" spans="1:10" ht="12.75" customHeight="1" x14ac:dyDescent="0.2">
      <c r="A60" s="40">
        <v>6</v>
      </c>
      <c r="B60" s="40">
        <v>2017</v>
      </c>
      <c r="C60" s="40" t="str">
        <f t="shared" si="0"/>
        <v>Income: 1</v>
      </c>
      <c r="D60" s="77" t="s">
        <v>284</v>
      </c>
      <c r="E60" s="40" t="s">
        <v>49</v>
      </c>
      <c r="F60" s="41">
        <v>2995</v>
      </c>
      <c r="G60" s="41">
        <v>0</v>
      </c>
      <c r="H60" s="41">
        <f t="shared" si="1"/>
        <v>0</v>
      </c>
      <c r="I60">
        <v>2991</v>
      </c>
    </row>
    <row r="61" spans="1:10" ht="12.75" customHeight="1" x14ac:dyDescent="0.2">
      <c r="A61" s="40">
        <v>8</v>
      </c>
      <c r="B61" s="40">
        <v>2017</v>
      </c>
      <c r="C61" s="40" t="str">
        <f t="shared" si="0"/>
        <v>Rent: 1</v>
      </c>
      <c r="D61" s="77" t="s">
        <v>285</v>
      </c>
      <c r="E61" s="40" t="s">
        <v>286</v>
      </c>
      <c r="F61" s="41">
        <v>0</v>
      </c>
      <c r="G61" s="41">
        <v>2995</v>
      </c>
      <c r="H61" s="41">
        <f t="shared" si="1"/>
        <v>2995</v>
      </c>
      <c r="I61">
        <v>2992</v>
      </c>
    </row>
    <row r="62" spans="1:10" ht="12.75" customHeight="1" x14ac:dyDescent="0.2">
      <c r="A62" s="40">
        <v>6</v>
      </c>
      <c r="B62" s="40">
        <v>2017</v>
      </c>
      <c r="C62" s="40" t="str">
        <f t="shared" si="0"/>
        <v>Income: 1</v>
      </c>
      <c r="D62" s="77" t="s">
        <v>284</v>
      </c>
      <c r="E62" s="40" t="s">
        <v>49</v>
      </c>
      <c r="F62" s="41">
        <v>2995</v>
      </c>
      <c r="G62" s="41">
        <v>0</v>
      </c>
      <c r="H62" s="41">
        <f t="shared" si="1"/>
        <v>0</v>
      </c>
      <c r="I62">
        <v>2993</v>
      </c>
    </row>
    <row r="63" spans="1:10" ht="12.75" customHeight="1" x14ac:dyDescent="0.2">
      <c r="A63" s="40">
        <v>9</v>
      </c>
      <c r="B63" s="40">
        <v>2017</v>
      </c>
      <c r="C63" s="40" t="str">
        <f t="shared" si="0"/>
        <v>Rent: 1</v>
      </c>
      <c r="D63" s="77" t="s">
        <v>287</v>
      </c>
      <c r="E63" s="40" t="s">
        <v>288</v>
      </c>
      <c r="F63" s="41">
        <v>0</v>
      </c>
      <c r="G63" s="41">
        <v>2995</v>
      </c>
      <c r="H63" s="41">
        <f t="shared" si="1"/>
        <v>2995</v>
      </c>
      <c r="I63">
        <v>2994</v>
      </c>
    </row>
    <row r="64" spans="1:10" ht="12.75" customHeight="1" x14ac:dyDescent="0.2">
      <c r="A64" s="40">
        <v>9</v>
      </c>
      <c r="B64" s="40">
        <v>2017</v>
      </c>
      <c r="C64" s="40" t="str">
        <f t="shared" si="0"/>
        <v>Income: 1</v>
      </c>
      <c r="D64" s="77" t="s">
        <v>287</v>
      </c>
      <c r="E64" s="40" t="s">
        <v>49</v>
      </c>
      <c r="F64" s="41">
        <v>2995</v>
      </c>
      <c r="G64" s="41">
        <v>0</v>
      </c>
      <c r="H64" s="41">
        <f t="shared" si="1"/>
        <v>0</v>
      </c>
      <c r="I64">
        <v>2995</v>
      </c>
    </row>
    <row r="65" spans="1:11" ht="12.75" customHeight="1" x14ac:dyDescent="0.2">
      <c r="A65" s="40">
        <v>10</v>
      </c>
      <c r="B65" s="40">
        <v>2017</v>
      </c>
      <c r="C65" s="40" t="str">
        <f t="shared" si="0"/>
        <v>Rent: 1</v>
      </c>
      <c r="D65" s="77" t="s">
        <v>289</v>
      </c>
      <c r="E65" s="40" t="s">
        <v>290</v>
      </c>
      <c r="F65" s="41">
        <v>0</v>
      </c>
      <c r="G65" s="41">
        <v>2995</v>
      </c>
      <c r="H65" s="41">
        <f t="shared" si="1"/>
        <v>2995</v>
      </c>
      <c r="I65">
        <v>2996</v>
      </c>
    </row>
    <row r="66" spans="1:11" ht="12.75" customHeight="1" x14ac:dyDescent="0.2">
      <c r="A66" s="40">
        <v>10</v>
      </c>
      <c r="B66" s="40">
        <v>2017</v>
      </c>
      <c r="C66" s="40" t="str">
        <f t="shared" si="0"/>
        <v>Income: 1</v>
      </c>
      <c r="D66" s="77" t="s">
        <v>291</v>
      </c>
      <c r="E66" s="40" t="s">
        <v>49</v>
      </c>
      <c r="F66" s="41">
        <v>2995</v>
      </c>
      <c r="G66" s="41">
        <v>0</v>
      </c>
      <c r="H66" s="41">
        <f t="shared" si="1"/>
        <v>0</v>
      </c>
      <c r="I66">
        <v>2997</v>
      </c>
      <c r="J66" s="29"/>
    </row>
    <row r="67" spans="1:11" ht="12.75" customHeight="1" x14ac:dyDescent="0.2">
      <c r="A67" s="40">
        <v>11</v>
      </c>
      <c r="B67" s="40">
        <v>2017</v>
      </c>
      <c r="C67" s="40" t="str">
        <f t="shared" si="0"/>
        <v>Rent: 1</v>
      </c>
      <c r="D67" s="77" t="s">
        <v>292</v>
      </c>
      <c r="E67" s="40" t="s">
        <v>293</v>
      </c>
      <c r="F67" s="41">
        <v>0</v>
      </c>
      <c r="G67" s="41">
        <v>2995</v>
      </c>
      <c r="H67" s="41">
        <f t="shared" si="1"/>
        <v>2995</v>
      </c>
      <c r="I67" s="51">
        <v>2998</v>
      </c>
      <c r="J67" s="29"/>
    </row>
    <row r="68" spans="1:11" ht="12.75" customHeight="1" x14ac:dyDescent="0.2">
      <c r="A68" s="40">
        <v>11</v>
      </c>
      <c r="B68" s="40">
        <v>2017</v>
      </c>
      <c r="C68" s="40" t="str">
        <f t="shared" si="0"/>
        <v>Income: 1</v>
      </c>
      <c r="D68" s="77" t="s">
        <v>292</v>
      </c>
      <c r="E68" s="40" t="s">
        <v>49</v>
      </c>
      <c r="F68" s="41">
        <v>2995</v>
      </c>
      <c r="G68" s="41">
        <v>0</v>
      </c>
      <c r="H68" s="41">
        <f t="shared" si="1"/>
        <v>0</v>
      </c>
      <c r="I68" s="28">
        <v>2999</v>
      </c>
      <c r="J68" s="14"/>
      <c r="K68" s="29"/>
    </row>
    <row r="69" spans="1:11" ht="12.75" customHeight="1" x14ac:dyDescent="0.2">
      <c r="A69" s="40">
        <v>12</v>
      </c>
      <c r="B69" s="40">
        <v>2017</v>
      </c>
      <c r="C69" s="40" t="str">
        <f t="shared" ref="C69:C132" si="2">IFERROR("Late Fee "&amp;FIND("Late Fee",E69),IFERROR("Internet "&amp;FIND("Internet",E69),IFERROR("Utilities "&amp;FIND("Utilities",E69),IFERROR("Rent: "&amp;FIND("Rent",E69),IFERROR("Priv Tax: "&amp;FIND("Tax",E69),IFERROR("Income: "&amp;FIND("Payment",E69,1),""))))))</f>
        <v>Rent: 1</v>
      </c>
      <c r="D69" s="77" t="s">
        <v>294</v>
      </c>
      <c r="E69" s="40" t="s">
        <v>295</v>
      </c>
      <c r="F69" s="41">
        <v>0</v>
      </c>
      <c r="G69" s="41">
        <v>3125</v>
      </c>
      <c r="H69" s="41">
        <f t="shared" si="1"/>
        <v>3125</v>
      </c>
      <c r="I69">
        <v>3000</v>
      </c>
    </row>
    <row r="70" spans="1:11" ht="12.75" customHeight="1" x14ac:dyDescent="0.2">
      <c r="A70" s="40">
        <v>12</v>
      </c>
      <c r="B70" s="40">
        <v>2017</v>
      </c>
      <c r="C70" s="40" t="str">
        <f t="shared" si="2"/>
        <v>Income: 1</v>
      </c>
      <c r="D70" s="77" t="s">
        <v>294</v>
      </c>
      <c r="E70" s="40" t="s">
        <v>49</v>
      </c>
      <c r="F70" s="41">
        <v>3125</v>
      </c>
      <c r="G70" s="41">
        <v>0</v>
      </c>
      <c r="H70" s="41">
        <f t="shared" ref="H70:H133" si="3" xml:space="preserve"> H69 + G70 - F70</f>
        <v>0</v>
      </c>
      <c r="I70" s="29">
        <v>3001</v>
      </c>
    </row>
    <row r="71" spans="1:11" ht="12.75" customHeight="1" x14ac:dyDescent="0.2">
      <c r="A71" s="40">
        <v>1</v>
      </c>
      <c r="B71" s="40">
        <v>2018</v>
      </c>
      <c r="C71" s="40" t="str">
        <f t="shared" si="2"/>
        <v>Rent: 1</v>
      </c>
      <c r="D71" s="77" t="s">
        <v>296</v>
      </c>
      <c r="E71" s="40" t="s">
        <v>297</v>
      </c>
      <c r="F71" s="41">
        <v>0</v>
      </c>
      <c r="G71" s="41">
        <v>3125</v>
      </c>
      <c r="H71" s="41">
        <f t="shared" si="3"/>
        <v>3125</v>
      </c>
      <c r="I71">
        <v>3002</v>
      </c>
    </row>
    <row r="72" spans="1:11" ht="12.75" customHeight="1" x14ac:dyDescent="0.2">
      <c r="A72" s="40">
        <v>12</v>
      </c>
      <c r="B72" s="40">
        <v>2017</v>
      </c>
      <c r="C72" s="40" t="str">
        <f t="shared" si="2"/>
        <v>Income: 1</v>
      </c>
      <c r="D72" s="77" t="s">
        <v>298</v>
      </c>
      <c r="E72" s="40" t="s">
        <v>49</v>
      </c>
      <c r="F72" s="41">
        <v>1160</v>
      </c>
      <c r="G72" s="41">
        <v>0</v>
      </c>
      <c r="H72" s="41">
        <f t="shared" si="3"/>
        <v>1965</v>
      </c>
      <c r="I72">
        <v>3003</v>
      </c>
    </row>
    <row r="73" spans="1:11" ht="12.75" customHeight="1" x14ac:dyDescent="0.2">
      <c r="A73" s="40">
        <v>1</v>
      </c>
      <c r="B73" s="40">
        <v>2018</v>
      </c>
      <c r="C73" s="40" t="str">
        <f t="shared" si="2"/>
        <v>Income: 1</v>
      </c>
      <c r="D73" s="77" t="s">
        <v>299</v>
      </c>
      <c r="E73" s="40" t="s">
        <v>49</v>
      </c>
      <c r="F73" s="41">
        <v>1960</v>
      </c>
      <c r="G73" s="41">
        <v>0</v>
      </c>
      <c r="H73" s="41">
        <f t="shared" si="3"/>
        <v>5</v>
      </c>
      <c r="I73">
        <v>3004</v>
      </c>
    </row>
    <row r="74" spans="1:11" ht="12.75" customHeight="1" x14ac:dyDescent="0.2">
      <c r="A74" s="40">
        <v>2</v>
      </c>
      <c r="B74" s="40">
        <v>2018</v>
      </c>
      <c r="C74" s="40" t="str">
        <f t="shared" si="2"/>
        <v>Rent: 1</v>
      </c>
      <c r="D74" s="77" t="s">
        <v>300</v>
      </c>
      <c r="E74" s="40" t="s">
        <v>301</v>
      </c>
      <c r="F74" s="41">
        <v>0</v>
      </c>
      <c r="G74" s="41">
        <v>3125</v>
      </c>
      <c r="H74" s="41">
        <f t="shared" si="3"/>
        <v>3130</v>
      </c>
      <c r="I74" s="28">
        <v>3005</v>
      </c>
    </row>
    <row r="75" spans="1:11" ht="12.75" customHeight="1" x14ac:dyDescent="0.2">
      <c r="A75" s="40">
        <v>1</v>
      </c>
      <c r="B75" s="40">
        <v>2018</v>
      </c>
      <c r="C75" s="40" t="str">
        <f t="shared" si="2"/>
        <v>Income: 1</v>
      </c>
      <c r="D75" s="77" t="s">
        <v>302</v>
      </c>
      <c r="E75" s="40" t="s">
        <v>49</v>
      </c>
      <c r="F75" s="41">
        <v>1005</v>
      </c>
      <c r="G75" s="41">
        <v>0</v>
      </c>
      <c r="H75" s="41">
        <f t="shared" si="3"/>
        <v>2125</v>
      </c>
      <c r="I75">
        <v>3006</v>
      </c>
    </row>
    <row r="76" spans="1:11" ht="12.75" customHeight="1" x14ac:dyDescent="0.2">
      <c r="A76" s="40">
        <v>2</v>
      </c>
      <c r="B76" s="40">
        <v>2018</v>
      </c>
      <c r="C76" s="40" t="str">
        <f t="shared" si="2"/>
        <v>Income: 1</v>
      </c>
      <c r="D76" s="77" t="s">
        <v>300</v>
      </c>
      <c r="E76" s="40" t="s">
        <v>49</v>
      </c>
      <c r="F76" s="41">
        <v>1495</v>
      </c>
      <c r="G76" s="41">
        <v>0</v>
      </c>
      <c r="H76" s="41">
        <f t="shared" si="3"/>
        <v>630</v>
      </c>
      <c r="I76">
        <v>3007</v>
      </c>
    </row>
    <row r="77" spans="1:11" ht="12.75" customHeight="1" x14ac:dyDescent="0.2">
      <c r="A77" s="40">
        <v>2</v>
      </c>
      <c r="B77" s="40">
        <v>2018</v>
      </c>
      <c r="C77" s="40" t="str">
        <f t="shared" si="2"/>
        <v>Income: 1</v>
      </c>
      <c r="D77" s="77" t="s">
        <v>303</v>
      </c>
      <c r="E77" s="40" t="s">
        <v>49</v>
      </c>
      <c r="F77" s="41">
        <v>255</v>
      </c>
      <c r="G77" s="41">
        <v>0</v>
      </c>
      <c r="H77" s="41">
        <f t="shared" si="3"/>
        <v>375</v>
      </c>
      <c r="I77">
        <v>3008</v>
      </c>
    </row>
    <row r="78" spans="1:11" ht="12.75" customHeight="1" x14ac:dyDescent="0.2">
      <c r="A78" s="40">
        <v>2</v>
      </c>
      <c r="B78" s="40">
        <v>2018</v>
      </c>
      <c r="C78" s="40" t="str">
        <f t="shared" si="2"/>
        <v>Income: 1</v>
      </c>
      <c r="D78" s="77" t="s">
        <v>304</v>
      </c>
      <c r="E78" s="40" t="s">
        <v>49</v>
      </c>
      <c r="F78" s="41">
        <v>375</v>
      </c>
      <c r="G78" s="41">
        <v>0</v>
      </c>
      <c r="H78" s="41">
        <f t="shared" si="3"/>
        <v>0</v>
      </c>
      <c r="I78">
        <v>3009</v>
      </c>
    </row>
    <row r="79" spans="1:11" ht="12.75" customHeight="1" x14ac:dyDescent="0.2">
      <c r="A79" s="40">
        <v>3</v>
      </c>
      <c r="B79" s="40">
        <v>2018</v>
      </c>
      <c r="C79" s="40" t="str">
        <f t="shared" si="2"/>
        <v>Rent: 1</v>
      </c>
      <c r="D79" s="77" t="s">
        <v>305</v>
      </c>
      <c r="E79" s="40" t="s">
        <v>306</v>
      </c>
      <c r="F79" s="41">
        <v>0</v>
      </c>
      <c r="G79" s="41">
        <v>3125</v>
      </c>
      <c r="H79" s="41">
        <f t="shared" si="3"/>
        <v>3125</v>
      </c>
      <c r="I79">
        <v>3010</v>
      </c>
    </row>
    <row r="80" spans="1:11" ht="12.75" customHeight="1" x14ac:dyDescent="0.2">
      <c r="A80" s="40">
        <v>2</v>
      </c>
      <c r="B80" s="40">
        <v>2018</v>
      </c>
      <c r="C80" s="40" t="str">
        <f t="shared" si="2"/>
        <v>Income: 1</v>
      </c>
      <c r="D80" s="77" t="s">
        <v>307</v>
      </c>
      <c r="E80" s="40" t="s">
        <v>49</v>
      </c>
      <c r="F80" s="41">
        <v>1125</v>
      </c>
      <c r="G80" s="41">
        <v>0</v>
      </c>
      <c r="H80" s="41">
        <f t="shared" si="3"/>
        <v>2000</v>
      </c>
      <c r="I80">
        <v>3011</v>
      </c>
    </row>
    <row r="81" spans="1:9" ht="12.75" customHeight="1" x14ac:dyDescent="0.2">
      <c r="A81" s="40">
        <v>2</v>
      </c>
      <c r="B81" s="40">
        <v>2018</v>
      </c>
      <c r="C81" s="40" t="str">
        <f t="shared" si="2"/>
        <v>Income: 1</v>
      </c>
      <c r="D81" s="77" t="s">
        <v>308</v>
      </c>
      <c r="E81" s="40" t="s">
        <v>49</v>
      </c>
      <c r="F81" s="41">
        <v>2000</v>
      </c>
      <c r="G81" s="41">
        <v>0</v>
      </c>
      <c r="H81" s="41">
        <f t="shared" si="3"/>
        <v>0</v>
      </c>
      <c r="I81">
        <v>3012</v>
      </c>
    </row>
    <row r="82" spans="1:9" ht="12.75" customHeight="1" x14ac:dyDescent="0.2">
      <c r="A82" s="40">
        <v>4</v>
      </c>
      <c r="B82" s="40">
        <v>2018</v>
      </c>
      <c r="C82" s="40" t="str">
        <f t="shared" si="2"/>
        <v>Rent: 1</v>
      </c>
      <c r="D82" s="77" t="s">
        <v>309</v>
      </c>
      <c r="E82" s="40" t="s">
        <v>310</v>
      </c>
      <c r="F82" s="41">
        <v>0</v>
      </c>
      <c r="G82" s="41">
        <v>3125</v>
      </c>
      <c r="H82" s="41">
        <f t="shared" si="3"/>
        <v>3125</v>
      </c>
      <c r="I82" s="28">
        <v>3013</v>
      </c>
    </row>
    <row r="83" spans="1:9" ht="12.75" customHeight="1" x14ac:dyDescent="0.2">
      <c r="A83" s="40">
        <v>3</v>
      </c>
      <c r="B83" s="40">
        <v>2018</v>
      </c>
      <c r="C83" s="40" t="str">
        <f t="shared" si="2"/>
        <v>Income: 1</v>
      </c>
      <c r="D83" s="77" t="s">
        <v>311</v>
      </c>
      <c r="E83" s="40" t="s">
        <v>49</v>
      </c>
      <c r="F83" s="41">
        <v>1100</v>
      </c>
      <c r="G83" s="41">
        <v>0</v>
      </c>
      <c r="H83" s="41">
        <f t="shared" si="3"/>
        <v>2025</v>
      </c>
      <c r="I83">
        <v>3014</v>
      </c>
    </row>
    <row r="84" spans="1:9" ht="12.75" customHeight="1" x14ac:dyDescent="0.2">
      <c r="A84" s="40">
        <v>3</v>
      </c>
      <c r="B84" s="40">
        <v>2018</v>
      </c>
      <c r="C84" s="40" t="str">
        <f t="shared" si="2"/>
        <v>Income: 1</v>
      </c>
      <c r="D84" s="77" t="s">
        <v>312</v>
      </c>
      <c r="E84" s="40" t="s">
        <v>49</v>
      </c>
      <c r="F84" s="41">
        <v>1936</v>
      </c>
      <c r="G84" s="41">
        <v>0</v>
      </c>
      <c r="H84" s="41">
        <f t="shared" si="3"/>
        <v>89</v>
      </c>
      <c r="I84">
        <v>3015</v>
      </c>
    </row>
    <row r="85" spans="1:9" ht="12.75" customHeight="1" x14ac:dyDescent="0.2">
      <c r="A85" s="40">
        <v>3</v>
      </c>
      <c r="B85" s="40">
        <v>2018</v>
      </c>
      <c r="C85" s="40" t="str">
        <f t="shared" si="2"/>
        <v/>
      </c>
      <c r="D85" s="77" t="s">
        <v>313</v>
      </c>
      <c r="E85" s="40" t="s">
        <v>57</v>
      </c>
      <c r="F85" s="41">
        <v>89</v>
      </c>
      <c r="G85" s="41">
        <v>0</v>
      </c>
      <c r="H85" s="41">
        <f t="shared" si="3"/>
        <v>0</v>
      </c>
      <c r="I85">
        <v>3016</v>
      </c>
    </row>
    <row r="86" spans="1:9" ht="12" customHeight="1" x14ac:dyDescent="0.2">
      <c r="A86" s="40">
        <v>5</v>
      </c>
      <c r="B86" s="40">
        <v>2018</v>
      </c>
      <c r="C86" s="40" t="str">
        <f t="shared" si="2"/>
        <v>Rent: 1</v>
      </c>
      <c r="D86" s="77" t="s">
        <v>314</v>
      </c>
      <c r="E86" s="40" t="s">
        <v>315</v>
      </c>
      <c r="F86" s="41">
        <v>0</v>
      </c>
      <c r="G86" s="41">
        <v>3125</v>
      </c>
      <c r="H86" s="41">
        <f t="shared" si="3"/>
        <v>3125</v>
      </c>
      <c r="I86" s="28">
        <v>3017</v>
      </c>
    </row>
    <row r="87" spans="1:9" ht="12.75" customHeight="1" x14ac:dyDescent="0.2">
      <c r="A87" s="40">
        <v>4</v>
      </c>
      <c r="B87" s="40">
        <v>2018</v>
      </c>
      <c r="C87" s="40" t="str">
        <f t="shared" si="2"/>
        <v>Income: 1</v>
      </c>
      <c r="D87" s="77" t="s">
        <v>316</v>
      </c>
      <c r="E87" s="40" t="s">
        <v>49</v>
      </c>
      <c r="F87" s="41">
        <v>1000</v>
      </c>
      <c r="G87" s="41">
        <v>0</v>
      </c>
      <c r="H87" s="41">
        <f t="shared" si="3"/>
        <v>2125</v>
      </c>
      <c r="I87">
        <v>3018</v>
      </c>
    </row>
    <row r="88" spans="1:9" ht="12.75" customHeight="1" x14ac:dyDescent="0.2">
      <c r="A88" s="40">
        <v>4</v>
      </c>
      <c r="B88" s="40">
        <v>2018</v>
      </c>
      <c r="C88" s="40" t="str">
        <f t="shared" si="2"/>
        <v>Income: 1</v>
      </c>
      <c r="D88" s="77" t="s">
        <v>316</v>
      </c>
      <c r="E88" s="40" t="s">
        <v>49</v>
      </c>
      <c r="F88" s="41">
        <v>625</v>
      </c>
      <c r="G88" s="41">
        <v>0</v>
      </c>
      <c r="H88" s="41">
        <f t="shared" si="3"/>
        <v>1500</v>
      </c>
      <c r="I88">
        <v>3019</v>
      </c>
    </row>
    <row r="89" spans="1:9" ht="12.75" customHeight="1" x14ac:dyDescent="0.2">
      <c r="A89" s="40">
        <v>5</v>
      </c>
      <c r="B89" s="40">
        <v>2018</v>
      </c>
      <c r="C89" s="40" t="str">
        <f t="shared" si="2"/>
        <v>Income: 1</v>
      </c>
      <c r="D89" s="77" t="s">
        <v>314</v>
      </c>
      <c r="E89" s="40" t="s">
        <v>49</v>
      </c>
      <c r="F89" s="41">
        <v>1500</v>
      </c>
      <c r="G89" s="41">
        <v>0</v>
      </c>
      <c r="H89" s="41">
        <f t="shared" si="3"/>
        <v>0</v>
      </c>
      <c r="I89">
        <v>3020</v>
      </c>
    </row>
    <row r="90" spans="1:9" ht="12.75" customHeight="1" x14ac:dyDescent="0.2">
      <c r="A90" s="40">
        <v>6</v>
      </c>
      <c r="B90" s="40">
        <v>2018</v>
      </c>
      <c r="C90" s="40" t="str">
        <f t="shared" si="2"/>
        <v>Rent: 1</v>
      </c>
      <c r="D90" s="77" t="s">
        <v>317</v>
      </c>
      <c r="E90" s="40" t="s">
        <v>318</v>
      </c>
      <c r="F90" s="41">
        <v>0</v>
      </c>
      <c r="G90" s="41">
        <v>3125</v>
      </c>
      <c r="H90" s="41">
        <f t="shared" si="3"/>
        <v>3125</v>
      </c>
      <c r="I90">
        <v>3021</v>
      </c>
    </row>
    <row r="91" spans="1:9" ht="12.75" customHeight="1" x14ac:dyDescent="0.2">
      <c r="A91" s="40">
        <v>5</v>
      </c>
      <c r="B91" s="40">
        <v>2018</v>
      </c>
      <c r="C91" s="40" t="str">
        <f t="shared" si="2"/>
        <v>Income: 1</v>
      </c>
      <c r="D91" s="77" t="s">
        <v>319</v>
      </c>
      <c r="E91" s="40" t="s">
        <v>49</v>
      </c>
      <c r="F91" s="41">
        <v>1000</v>
      </c>
      <c r="G91" s="41">
        <v>0</v>
      </c>
      <c r="H91" s="41">
        <f t="shared" si="3"/>
        <v>2125</v>
      </c>
      <c r="I91">
        <v>3022</v>
      </c>
    </row>
    <row r="92" spans="1:9" ht="12.75" customHeight="1" x14ac:dyDescent="0.2">
      <c r="A92" s="40">
        <v>5</v>
      </c>
      <c r="B92" s="40">
        <v>2018</v>
      </c>
      <c r="C92" s="40" t="str">
        <f t="shared" si="2"/>
        <v>Income: 1</v>
      </c>
      <c r="D92" s="77" t="s">
        <v>320</v>
      </c>
      <c r="E92" s="40" t="s">
        <v>49</v>
      </c>
      <c r="F92" s="41">
        <v>2000</v>
      </c>
      <c r="G92" s="41">
        <v>0</v>
      </c>
      <c r="H92" s="41">
        <f t="shared" si="3"/>
        <v>125</v>
      </c>
      <c r="I92">
        <v>3023</v>
      </c>
    </row>
    <row r="93" spans="1:9" ht="12.75" customHeight="1" x14ac:dyDescent="0.2">
      <c r="A93" s="40">
        <v>6</v>
      </c>
      <c r="B93" s="40">
        <v>2018</v>
      </c>
      <c r="C93" s="40" t="str">
        <f t="shared" si="2"/>
        <v>Income: 1</v>
      </c>
      <c r="D93" s="77" t="s">
        <v>317</v>
      </c>
      <c r="E93" s="40" t="s">
        <v>49</v>
      </c>
      <c r="F93" s="41">
        <v>125</v>
      </c>
      <c r="G93" s="41">
        <v>0</v>
      </c>
      <c r="H93" s="41">
        <f t="shared" si="3"/>
        <v>0</v>
      </c>
      <c r="I93">
        <v>3024</v>
      </c>
    </row>
    <row r="94" spans="1:9" ht="12.75" customHeight="1" x14ac:dyDescent="0.2">
      <c r="A94" s="40">
        <v>7</v>
      </c>
      <c r="B94" s="40">
        <v>2018</v>
      </c>
      <c r="C94" s="40" t="str">
        <f t="shared" si="2"/>
        <v>Rent: 1</v>
      </c>
      <c r="D94" s="77" t="s">
        <v>321</v>
      </c>
      <c r="E94" s="40" t="s">
        <v>322</v>
      </c>
      <c r="F94" s="41">
        <v>0</v>
      </c>
      <c r="G94" s="41">
        <v>3125</v>
      </c>
      <c r="H94" s="41">
        <f t="shared" si="3"/>
        <v>3125</v>
      </c>
      <c r="I94">
        <v>3025</v>
      </c>
    </row>
    <row r="95" spans="1:9" ht="12.75" customHeight="1" x14ac:dyDescent="0.2">
      <c r="A95" s="40">
        <v>7</v>
      </c>
      <c r="B95" s="40">
        <v>2018</v>
      </c>
      <c r="C95" s="40" t="str">
        <f t="shared" si="2"/>
        <v>Income: 1</v>
      </c>
      <c r="D95" s="77" t="s">
        <v>323</v>
      </c>
      <c r="E95" s="40" t="s">
        <v>49</v>
      </c>
      <c r="F95" s="41">
        <v>1562.5</v>
      </c>
      <c r="G95" s="41">
        <v>0</v>
      </c>
      <c r="H95" s="41">
        <f t="shared" si="3"/>
        <v>1562.5</v>
      </c>
      <c r="I95">
        <v>3026</v>
      </c>
    </row>
    <row r="96" spans="1:9" ht="12.75" customHeight="1" x14ac:dyDescent="0.2">
      <c r="A96" s="40">
        <v>7</v>
      </c>
      <c r="B96" s="40">
        <v>2018</v>
      </c>
      <c r="C96" s="40" t="str">
        <f t="shared" si="2"/>
        <v>Income: 1</v>
      </c>
      <c r="D96" s="77" t="s">
        <v>323</v>
      </c>
      <c r="E96" s="40" t="s">
        <v>49</v>
      </c>
      <c r="F96" s="41">
        <v>1562.5</v>
      </c>
      <c r="G96" s="41">
        <v>0</v>
      </c>
      <c r="H96" s="41">
        <f t="shared" si="3"/>
        <v>0</v>
      </c>
      <c r="I96">
        <v>3027</v>
      </c>
    </row>
    <row r="97" spans="1:11" ht="12.75" customHeight="1" x14ac:dyDescent="0.2">
      <c r="A97" s="40">
        <v>8</v>
      </c>
      <c r="B97" s="40">
        <v>2018</v>
      </c>
      <c r="C97" s="40" t="str">
        <f t="shared" si="2"/>
        <v>Rent: 1</v>
      </c>
      <c r="D97" s="77" t="s">
        <v>324</v>
      </c>
      <c r="E97" s="40" t="s">
        <v>325</v>
      </c>
      <c r="F97" s="41">
        <v>0</v>
      </c>
      <c r="G97" s="41">
        <v>3125</v>
      </c>
      <c r="H97" s="41">
        <f t="shared" si="3"/>
        <v>3125</v>
      </c>
      <c r="I97">
        <v>3028</v>
      </c>
    </row>
    <row r="98" spans="1:11" ht="12.75" customHeight="1" x14ac:dyDescent="0.2">
      <c r="A98" s="40">
        <v>7</v>
      </c>
      <c r="B98" s="40">
        <v>2018</v>
      </c>
      <c r="C98" s="40" t="str">
        <f t="shared" si="2"/>
        <v>Income: 1</v>
      </c>
      <c r="D98" s="77" t="s">
        <v>326</v>
      </c>
      <c r="E98" s="40" t="s">
        <v>49</v>
      </c>
      <c r="F98" s="41">
        <v>1320</v>
      </c>
      <c r="G98" s="41">
        <v>0</v>
      </c>
      <c r="H98" s="41">
        <f t="shared" si="3"/>
        <v>1805</v>
      </c>
      <c r="I98">
        <v>3029</v>
      </c>
    </row>
    <row r="99" spans="1:11" ht="12.75" customHeight="1" x14ac:dyDescent="0.2">
      <c r="A99" s="40">
        <v>7</v>
      </c>
      <c r="B99" s="40">
        <v>2018</v>
      </c>
      <c r="C99" s="40" t="str">
        <f t="shared" si="2"/>
        <v>Income: 1</v>
      </c>
      <c r="D99" s="77" t="s">
        <v>327</v>
      </c>
      <c r="E99" s="40" t="s">
        <v>49</v>
      </c>
      <c r="F99" s="41">
        <v>1805</v>
      </c>
      <c r="G99" s="41">
        <v>0</v>
      </c>
      <c r="H99" s="41">
        <f t="shared" si="3"/>
        <v>0</v>
      </c>
      <c r="I99">
        <v>3030</v>
      </c>
    </row>
    <row r="100" spans="1:11" ht="12.75" customHeight="1" x14ac:dyDescent="0.2">
      <c r="A100" s="40">
        <v>9</v>
      </c>
      <c r="B100" s="40">
        <v>2018</v>
      </c>
      <c r="C100" s="40" t="str">
        <f t="shared" si="2"/>
        <v>Rent: 1</v>
      </c>
      <c r="D100" s="77" t="s">
        <v>328</v>
      </c>
      <c r="E100" s="40" t="s">
        <v>329</v>
      </c>
      <c r="F100" s="41">
        <v>0</v>
      </c>
      <c r="G100" s="41">
        <v>3125</v>
      </c>
      <c r="H100" s="41">
        <f t="shared" si="3"/>
        <v>3125</v>
      </c>
      <c r="I100">
        <v>3031</v>
      </c>
    </row>
    <row r="101" spans="1:11" ht="12.75" customHeight="1" x14ac:dyDescent="0.2">
      <c r="A101" s="40">
        <v>8</v>
      </c>
      <c r="B101" s="40">
        <v>2018</v>
      </c>
      <c r="C101" s="40" t="str">
        <f t="shared" si="2"/>
        <v>Income: 1</v>
      </c>
      <c r="D101" s="77" t="s">
        <v>330</v>
      </c>
      <c r="E101" s="40" t="s">
        <v>49</v>
      </c>
      <c r="F101" s="41">
        <v>2500</v>
      </c>
      <c r="G101" s="41">
        <v>0</v>
      </c>
      <c r="H101" s="41">
        <f t="shared" si="3"/>
        <v>625</v>
      </c>
      <c r="I101">
        <v>3032</v>
      </c>
    </row>
    <row r="102" spans="1:11" ht="12.75" customHeight="1" x14ac:dyDescent="0.2">
      <c r="A102" s="40">
        <v>8</v>
      </c>
      <c r="B102" s="40">
        <v>2018</v>
      </c>
      <c r="C102" s="40" t="str">
        <f t="shared" si="2"/>
        <v>Income: 1</v>
      </c>
      <c r="D102" s="77" t="s">
        <v>330</v>
      </c>
      <c r="E102" s="40" t="s">
        <v>49</v>
      </c>
      <c r="F102" s="41">
        <v>625</v>
      </c>
      <c r="G102" s="41">
        <v>0</v>
      </c>
      <c r="H102" s="41">
        <f t="shared" si="3"/>
        <v>0</v>
      </c>
      <c r="I102">
        <v>3033</v>
      </c>
    </row>
    <row r="103" spans="1:11" ht="12.75" customHeight="1" x14ac:dyDescent="0.2">
      <c r="A103" s="40">
        <v>10</v>
      </c>
      <c r="B103" s="40">
        <v>2018</v>
      </c>
      <c r="C103" s="40" t="str">
        <f t="shared" si="2"/>
        <v>Rent: 1</v>
      </c>
      <c r="D103" s="77" t="s">
        <v>331</v>
      </c>
      <c r="E103" s="40" t="s">
        <v>332</v>
      </c>
      <c r="F103" s="41">
        <v>0</v>
      </c>
      <c r="G103" s="41">
        <v>3125</v>
      </c>
      <c r="H103" s="41">
        <f t="shared" si="3"/>
        <v>3125</v>
      </c>
      <c r="I103">
        <v>3034</v>
      </c>
    </row>
    <row r="104" spans="1:11" ht="12.75" customHeight="1" x14ac:dyDescent="0.2">
      <c r="A104" s="40">
        <v>10</v>
      </c>
      <c r="B104" s="40">
        <v>2018</v>
      </c>
      <c r="C104" s="40" t="str">
        <f t="shared" si="2"/>
        <v>Income: 1</v>
      </c>
      <c r="D104" s="77" t="s">
        <v>331</v>
      </c>
      <c r="E104" s="40" t="s">
        <v>49</v>
      </c>
      <c r="F104" s="41">
        <v>2000</v>
      </c>
      <c r="G104" s="41">
        <v>0</v>
      </c>
      <c r="H104" s="41">
        <f t="shared" si="3"/>
        <v>1125</v>
      </c>
      <c r="I104">
        <v>3035</v>
      </c>
    </row>
    <row r="105" spans="1:11" ht="12.75" customHeight="1" x14ac:dyDescent="0.2">
      <c r="A105" s="40">
        <v>10</v>
      </c>
      <c r="B105" s="40">
        <v>2018</v>
      </c>
      <c r="C105" s="40" t="str">
        <f t="shared" si="2"/>
        <v>Income: 1</v>
      </c>
      <c r="D105" s="77" t="s">
        <v>331</v>
      </c>
      <c r="E105" s="40" t="s">
        <v>49</v>
      </c>
      <c r="F105" s="41">
        <v>1125</v>
      </c>
      <c r="G105" s="41">
        <v>0</v>
      </c>
      <c r="H105" s="41">
        <f t="shared" si="3"/>
        <v>0</v>
      </c>
      <c r="I105" s="28">
        <v>3036</v>
      </c>
    </row>
    <row r="106" spans="1:11" ht="12.75" customHeight="1" x14ac:dyDescent="0.2">
      <c r="A106" s="40">
        <v>11</v>
      </c>
      <c r="B106" s="40">
        <v>2018</v>
      </c>
      <c r="C106" s="40" t="str">
        <f t="shared" si="2"/>
        <v>Rent: 1</v>
      </c>
      <c r="D106" s="77" t="s">
        <v>333</v>
      </c>
      <c r="E106" s="40" t="s">
        <v>334</v>
      </c>
      <c r="F106" s="41">
        <v>0</v>
      </c>
      <c r="G106" s="41">
        <v>3125</v>
      </c>
      <c r="H106" s="41">
        <f t="shared" si="3"/>
        <v>3125</v>
      </c>
      <c r="I106">
        <v>3037</v>
      </c>
    </row>
    <row r="107" spans="1:11" ht="12.75" customHeight="1" x14ac:dyDescent="0.2">
      <c r="A107" s="40">
        <v>10</v>
      </c>
      <c r="B107" s="40">
        <v>2018</v>
      </c>
      <c r="C107" s="40" t="str">
        <f t="shared" si="2"/>
        <v>Income: 1</v>
      </c>
      <c r="D107" s="77" t="s">
        <v>335</v>
      </c>
      <c r="E107" s="40" t="s">
        <v>49</v>
      </c>
      <c r="F107" s="41">
        <v>1562.5</v>
      </c>
      <c r="G107" s="41">
        <v>0</v>
      </c>
      <c r="H107" s="41">
        <f t="shared" si="3"/>
        <v>1562.5</v>
      </c>
      <c r="I107">
        <v>3038</v>
      </c>
    </row>
    <row r="108" spans="1:11" ht="12.75" customHeight="1" x14ac:dyDescent="0.2">
      <c r="A108" s="40">
        <v>11</v>
      </c>
      <c r="B108" s="40">
        <v>2018</v>
      </c>
      <c r="C108" s="40" t="str">
        <f t="shared" si="2"/>
        <v>Income: 1</v>
      </c>
      <c r="D108" s="77" t="s">
        <v>333</v>
      </c>
      <c r="E108" s="40" t="s">
        <v>49</v>
      </c>
      <c r="F108" s="41">
        <v>1562.5</v>
      </c>
      <c r="G108" s="41">
        <v>0</v>
      </c>
      <c r="H108" s="41">
        <f t="shared" si="3"/>
        <v>0</v>
      </c>
      <c r="I108">
        <v>3039</v>
      </c>
    </row>
    <row r="109" spans="1:11" ht="12.75" customHeight="1" x14ac:dyDescent="0.2">
      <c r="A109" s="40">
        <v>12</v>
      </c>
      <c r="B109" s="40">
        <v>2018</v>
      </c>
      <c r="C109" s="40" t="str">
        <f t="shared" si="2"/>
        <v>Rent: 1</v>
      </c>
      <c r="D109" s="77" t="s">
        <v>336</v>
      </c>
      <c r="E109" s="40" t="s">
        <v>337</v>
      </c>
      <c r="F109" s="41">
        <v>0</v>
      </c>
      <c r="G109" s="41">
        <v>3125</v>
      </c>
      <c r="H109" s="41">
        <f t="shared" si="3"/>
        <v>3125</v>
      </c>
      <c r="I109" s="51">
        <v>3040</v>
      </c>
      <c r="J109" s="29"/>
    </row>
    <row r="110" spans="1:11" ht="12.75" customHeight="1" x14ac:dyDescent="0.2">
      <c r="A110" s="40">
        <v>11</v>
      </c>
      <c r="B110" s="40">
        <v>2018</v>
      </c>
      <c r="C110" s="40" t="str">
        <f t="shared" si="2"/>
        <v>Income: 1</v>
      </c>
      <c r="D110" s="77" t="s">
        <v>338</v>
      </c>
      <c r="E110" s="40" t="s">
        <v>49</v>
      </c>
      <c r="F110" s="41">
        <v>1000</v>
      </c>
      <c r="G110" s="41">
        <v>0</v>
      </c>
      <c r="H110" s="41">
        <f t="shared" si="3"/>
        <v>2125</v>
      </c>
      <c r="I110" s="28">
        <v>3041</v>
      </c>
      <c r="J110" s="14"/>
      <c r="K110" s="29"/>
    </row>
    <row r="111" spans="1:11" ht="12.75" customHeight="1" x14ac:dyDescent="0.2">
      <c r="A111" s="40">
        <v>12</v>
      </c>
      <c r="B111" s="40">
        <v>2018</v>
      </c>
      <c r="C111" s="40" t="str">
        <f t="shared" si="2"/>
        <v>Income: 1</v>
      </c>
      <c r="D111" s="77" t="s">
        <v>339</v>
      </c>
      <c r="E111" s="40" t="s">
        <v>49</v>
      </c>
      <c r="F111" s="41">
        <v>2125</v>
      </c>
      <c r="G111" s="41">
        <v>0</v>
      </c>
      <c r="H111" s="41">
        <f t="shared" si="3"/>
        <v>0</v>
      </c>
      <c r="I111">
        <v>3042</v>
      </c>
    </row>
    <row r="112" spans="1:11" ht="12.75" customHeight="1" x14ac:dyDescent="0.2">
      <c r="A112" s="40">
        <v>1</v>
      </c>
      <c r="B112" s="40">
        <v>2018</v>
      </c>
      <c r="C112" s="40" t="str">
        <f t="shared" si="2"/>
        <v>Rent: 1</v>
      </c>
      <c r="D112" s="77" t="s">
        <v>296</v>
      </c>
      <c r="E112" s="40" t="s">
        <v>297</v>
      </c>
      <c r="F112" s="41">
        <v>0</v>
      </c>
      <c r="G112" s="41">
        <v>3125</v>
      </c>
      <c r="H112" s="41">
        <f t="shared" si="3"/>
        <v>3125</v>
      </c>
      <c r="I112">
        <v>3043</v>
      </c>
    </row>
    <row r="113" spans="1:11" ht="12.75" customHeight="1" x14ac:dyDescent="0.2">
      <c r="A113" s="40">
        <v>12</v>
      </c>
      <c r="B113" s="40">
        <v>2018</v>
      </c>
      <c r="C113" s="40" t="str">
        <f t="shared" si="2"/>
        <v>Income: 1</v>
      </c>
      <c r="D113" s="77" t="s">
        <v>340</v>
      </c>
      <c r="E113" s="40" t="s">
        <v>49</v>
      </c>
      <c r="F113" s="41">
        <v>1562.5</v>
      </c>
      <c r="G113" s="41">
        <v>0</v>
      </c>
      <c r="H113" s="41">
        <f t="shared" si="3"/>
        <v>1562.5</v>
      </c>
      <c r="I113">
        <v>3044</v>
      </c>
    </row>
    <row r="114" spans="1:11" ht="12.75" customHeight="1" x14ac:dyDescent="0.2">
      <c r="A114" s="40">
        <v>12</v>
      </c>
      <c r="B114" s="40">
        <v>2018</v>
      </c>
      <c r="C114" s="40" t="str">
        <f t="shared" si="2"/>
        <v>Income: 1</v>
      </c>
      <c r="D114" s="77" t="s">
        <v>340</v>
      </c>
      <c r="E114" s="40" t="s">
        <v>49</v>
      </c>
      <c r="F114" s="41">
        <v>1562.5</v>
      </c>
      <c r="G114" s="41">
        <v>0</v>
      </c>
      <c r="H114" s="41">
        <f t="shared" si="3"/>
        <v>0</v>
      </c>
      <c r="I114">
        <v>3045</v>
      </c>
    </row>
    <row r="115" spans="1:11" ht="12.75" customHeight="1" x14ac:dyDescent="0.2">
      <c r="A115" s="40">
        <v>2</v>
      </c>
      <c r="B115" s="40">
        <v>2019</v>
      </c>
      <c r="C115" s="40" t="str">
        <f t="shared" si="2"/>
        <v>Rent: 1</v>
      </c>
      <c r="D115" s="77" t="s">
        <v>341</v>
      </c>
      <c r="E115" s="40" t="s">
        <v>342</v>
      </c>
      <c r="F115" s="41">
        <v>0</v>
      </c>
      <c r="G115" s="41">
        <v>3125</v>
      </c>
      <c r="H115" s="41">
        <f t="shared" si="3"/>
        <v>3125</v>
      </c>
      <c r="I115">
        <v>3046</v>
      </c>
    </row>
    <row r="116" spans="1:11" ht="12.75" customHeight="1" x14ac:dyDescent="0.2">
      <c r="A116" s="40">
        <v>1</v>
      </c>
      <c r="B116" s="40">
        <v>2009</v>
      </c>
      <c r="C116" s="40" t="str">
        <f t="shared" si="2"/>
        <v>Income: 1</v>
      </c>
      <c r="D116" s="77" t="s">
        <v>343</v>
      </c>
      <c r="E116" s="40" t="s">
        <v>49</v>
      </c>
      <c r="F116" s="41">
        <v>1125</v>
      </c>
      <c r="G116" s="41">
        <v>0</v>
      </c>
      <c r="H116" s="41">
        <f t="shared" si="3"/>
        <v>2000</v>
      </c>
      <c r="I116">
        <v>3047</v>
      </c>
    </row>
    <row r="117" spans="1:11" ht="12.75" customHeight="1" x14ac:dyDescent="0.2">
      <c r="A117" s="40">
        <v>2</v>
      </c>
      <c r="B117" s="40">
        <v>2019</v>
      </c>
      <c r="C117" s="40" t="str">
        <f t="shared" si="2"/>
        <v>Income: 1</v>
      </c>
      <c r="D117" s="77" t="s">
        <v>341</v>
      </c>
      <c r="E117" s="40" t="s">
        <v>49</v>
      </c>
      <c r="F117" s="41">
        <v>2000</v>
      </c>
      <c r="G117" s="41">
        <v>0</v>
      </c>
      <c r="H117" s="41">
        <f t="shared" si="3"/>
        <v>0</v>
      </c>
      <c r="I117" s="33">
        <v>3048</v>
      </c>
    </row>
    <row r="118" spans="1:11" ht="12.75" customHeight="1" x14ac:dyDescent="0.2">
      <c r="A118" s="40">
        <v>3</v>
      </c>
      <c r="B118" s="40">
        <v>2009</v>
      </c>
      <c r="C118" s="40" t="str">
        <f t="shared" si="2"/>
        <v>Rent: 1</v>
      </c>
      <c r="D118" s="77" t="s">
        <v>344</v>
      </c>
      <c r="E118" s="40" t="s">
        <v>345</v>
      </c>
      <c r="F118" s="41">
        <v>0</v>
      </c>
      <c r="G118" s="41">
        <v>3125</v>
      </c>
      <c r="H118" s="41">
        <f t="shared" si="3"/>
        <v>3125</v>
      </c>
      <c r="I118" s="29">
        <v>3049</v>
      </c>
      <c r="J118" s="29"/>
      <c r="K118" s="27"/>
    </row>
    <row r="119" spans="1:11" ht="12.75" customHeight="1" x14ac:dyDescent="0.2">
      <c r="A119" s="40">
        <v>2</v>
      </c>
      <c r="B119" s="40">
        <v>2019</v>
      </c>
      <c r="C119" s="40" t="str">
        <f t="shared" si="2"/>
        <v>Income: 1</v>
      </c>
      <c r="D119" s="77" t="s">
        <v>346</v>
      </c>
      <c r="E119" s="40" t="s">
        <v>49</v>
      </c>
      <c r="F119" s="41">
        <v>1562.5</v>
      </c>
      <c r="G119" s="41">
        <v>0</v>
      </c>
      <c r="H119" s="41">
        <f t="shared" si="3"/>
        <v>1562.5</v>
      </c>
      <c r="I119" s="29">
        <v>3050</v>
      </c>
      <c r="J119" s="29"/>
    </row>
    <row r="120" spans="1:11" ht="12.75" customHeight="1" x14ac:dyDescent="0.2">
      <c r="A120" s="40">
        <v>3</v>
      </c>
      <c r="B120" s="40">
        <v>2019</v>
      </c>
      <c r="C120" s="40" t="str">
        <f t="shared" si="2"/>
        <v>Income: 1</v>
      </c>
      <c r="D120" s="77" t="s">
        <v>347</v>
      </c>
      <c r="E120" s="40" t="s">
        <v>49</v>
      </c>
      <c r="F120" s="41">
        <v>1562.5</v>
      </c>
      <c r="G120" s="41">
        <v>0</v>
      </c>
      <c r="H120" s="41">
        <f t="shared" si="3"/>
        <v>0</v>
      </c>
      <c r="I120" s="28">
        <v>3051</v>
      </c>
      <c r="J120" s="29"/>
      <c r="K120" s="29"/>
    </row>
    <row r="121" spans="1:11" ht="12.75" customHeight="1" x14ac:dyDescent="0.2">
      <c r="A121" s="40">
        <v>4</v>
      </c>
      <c r="B121" s="40">
        <v>2019</v>
      </c>
      <c r="C121" s="40" t="str">
        <f t="shared" si="2"/>
        <v>Rent: 1</v>
      </c>
      <c r="D121" s="77" t="s">
        <v>348</v>
      </c>
      <c r="E121" s="40" t="s">
        <v>349</v>
      </c>
      <c r="F121" s="41">
        <v>0</v>
      </c>
      <c r="G121" s="41">
        <v>3200</v>
      </c>
      <c r="H121" s="41">
        <f t="shared" si="3"/>
        <v>3200</v>
      </c>
      <c r="I121">
        <v>3052</v>
      </c>
    </row>
    <row r="122" spans="1:11" ht="12.75" customHeight="1" x14ac:dyDescent="0.2">
      <c r="A122" s="40">
        <v>4</v>
      </c>
      <c r="B122" s="40">
        <v>2019</v>
      </c>
      <c r="C122" s="40" t="str">
        <f t="shared" si="2"/>
        <v>Income: 1</v>
      </c>
      <c r="D122" s="77" t="s">
        <v>348</v>
      </c>
      <c r="E122" s="40" t="s">
        <v>49</v>
      </c>
      <c r="F122" s="41">
        <v>1600</v>
      </c>
      <c r="G122" s="41">
        <v>0</v>
      </c>
      <c r="H122" s="41">
        <f t="shared" si="3"/>
        <v>1600</v>
      </c>
      <c r="I122">
        <v>3053</v>
      </c>
    </row>
    <row r="123" spans="1:11" ht="12.75" customHeight="1" x14ac:dyDescent="0.2">
      <c r="A123" s="40">
        <v>4</v>
      </c>
      <c r="B123" s="40">
        <v>2019</v>
      </c>
      <c r="C123" s="40" t="str">
        <f t="shared" si="2"/>
        <v>Income: 1</v>
      </c>
      <c r="D123" s="77" t="s">
        <v>348</v>
      </c>
      <c r="E123" s="40" t="s">
        <v>49</v>
      </c>
      <c r="F123" s="41">
        <v>1600</v>
      </c>
      <c r="G123" s="41">
        <v>0</v>
      </c>
      <c r="H123" s="41">
        <f t="shared" si="3"/>
        <v>0</v>
      </c>
      <c r="I123">
        <v>3054</v>
      </c>
    </row>
    <row r="124" spans="1:11" ht="12.75" customHeight="1" x14ac:dyDescent="0.2">
      <c r="A124" s="40">
        <v>5</v>
      </c>
      <c r="B124" s="40">
        <v>2019</v>
      </c>
      <c r="C124" s="40" t="str">
        <f t="shared" si="2"/>
        <v>Rent: 1</v>
      </c>
      <c r="D124" s="77" t="s">
        <v>350</v>
      </c>
      <c r="E124" s="40" t="s">
        <v>351</v>
      </c>
      <c r="F124" s="41">
        <v>0</v>
      </c>
      <c r="G124" s="41">
        <v>3200</v>
      </c>
      <c r="H124" s="41">
        <f t="shared" si="3"/>
        <v>3200</v>
      </c>
      <c r="I124">
        <v>3055</v>
      </c>
    </row>
    <row r="125" spans="1:11" ht="12.75" customHeight="1" x14ac:dyDescent="0.2">
      <c r="A125" s="40">
        <v>4</v>
      </c>
      <c r="B125" s="40">
        <v>2019</v>
      </c>
      <c r="C125" s="40" t="str">
        <f t="shared" si="2"/>
        <v>Income: 1</v>
      </c>
      <c r="D125" s="77" t="s">
        <v>352</v>
      </c>
      <c r="E125" s="40" t="s">
        <v>49</v>
      </c>
      <c r="F125" s="41">
        <v>1600</v>
      </c>
      <c r="G125" s="41">
        <v>0</v>
      </c>
      <c r="H125" s="41">
        <f t="shared" si="3"/>
        <v>1600</v>
      </c>
      <c r="I125">
        <v>3056</v>
      </c>
    </row>
    <row r="126" spans="1:11" ht="12.75" customHeight="1" x14ac:dyDescent="0.2">
      <c r="A126" s="40">
        <v>5</v>
      </c>
      <c r="B126" s="40">
        <v>2019</v>
      </c>
      <c r="C126" s="40" t="str">
        <f t="shared" si="2"/>
        <v>Income: 1</v>
      </c>
      <c r="D126" s="77" t="s">
        <v>350</v>
      </c>
      <c r="E126" s="40" t="s">
        <v>49</v>
      </c>
      <c r="F126" s="41">
        <v>1600</v>
      </c>
      <c r="G126" s="41">
        <v>0</v>
      </c>
      <c r="H126" s="41">
        <f t="shared" si="3"/>
        <v>0</v>
      </c>
      <c r="I126">
        <v>3057</v>
      </c>
    </row>
    <row r="127" spans="1:11" ht="12.75" customHeight="1" x14ac:dyDescent="0.2">
      <c r="A127" s="40">
        <v>6</v>
      </c>
      <c r="B127" s="40">
        <v>2019</v>
      </c>
      <c r="C127" s="40" t="str">
        <f t="shared" si="2"/>
        <v>Rent: 1</v>
      </c>
      <c r="D127" s="77" t="s">
        <v>353</v>
      </c>
      <c r="E127" s="40" t="s">
        <v>354</v>
      </c>
      <c r="F127" s="41">
        <v>0</v>
      </c>
      <c r="G127" s="41">
        <v>3200</v>
      </c>
      <c r="H127" s="41">
        <f t="shared" si="3"/>
        <v>3200</v>
      </c>
      <c r="I127">
        <v>3058</v>
      </c>
    </row>
    <row r="128" spans="1:11" ht="12.75" customHeight="1" x14ac:dyDescent="0.2">
      <c r="A128" s="40">
        <v>5</v>
      </c>
      <c r="B128" s="40">
        <v>2019</v>
      </c>
      <c r="C128" s="40" t="str">
        <f t="shared" si="2"/>
        <v>Income: 1</v>
      </c>
      <c r="D128" s="77" t="s">
        <v>355</v>
      </c>
      <c r="E128" s="40" t="s">
        <v>49</v>
      </c>
      <c r="F128" s="41">
        <v>1600</v>
      </c>
      <c r="G128" s="41">
        <v>0</v>
      </c>
      <c r="H128" s="41">
        <f t="shared" si="3"/>
        <v>1600</v>
      </c>
      <c r="I128">
        <v>3059</v>
      </c>
    </row>
    <row r="129" spans="1:9" ht="12.75" customHeight="1" x14ac:dyDescent="0.2">
      <c r="A129" s="40">
        <v>6</v>
      </c>
      <c r="B129" s="40">
        <v>2019</v>
      </c>
      <c r="C129" s="40" t="str">
        <f t="shared" si="2"/>
        <v>Income: 1</v>
      </c>
      <c r="D129" s="77" t="s">
        <v>356</v>
      </c>
      <c r="E129" s="40" t="s">
        <v>49</v>
      </c>
      <c r="F129" s="41">
        <v>1600</v>
      </c>
      <c r="G129" s="41">
        <v>0</v>
      </c>
      <c r="H129" s="41">
        <f t="shared" si="3"/>
        <v>0</v>
      </c>
      <c r="I129">
        <v>3060</v>
      </c>
    </row>
    <row r="130" spans="1:9" ht="12.75" customHeight="1" x14ac:dyDescent="0.2">
      <c r="A130" s="40">
        <v>7</v>
      </c>
      <c r="B130" s="40">
        <v>2019</v>
      </c>
      <c r="C130" s="40" t="str">
        <f t="shared" si="2"/>
        <v>Rent: 1</v>
      </c>
      <c r="D130" s="77" t="s">
        <v>357</v>
      </c>
      <c r="E130" s="40" t="s">
        <v>358</v>
      </c>
      <c r="F130" s="41">
        <v>0</v>
      </c>
      <c r="G130" s="41">
        <v>3200</v>
      </c>
      <c r="H130" s="41">
        <f t="shared" si="3"/>
        <v>3200</v>
      </c>
      <c r="I130">
        <v>3061</v>
      </c>
    </row>
    <row r="131" spans="1:9" ht="12.75" customHeight="1" x14ac:dyDescent="0.2">
      <c r="A131" s="40">
        <v>7</v>
      </c>
      <c r="B131" s="40">
        <v>2019</v>
      </c>
      <c r="C131" s="40" t="str">
        <f t="shared" si="2"/>
        <v>Income: 1</v>
      </c>
      <c r="D131" s="77" t="s">
        <v>357</v>
      </c>
      <c r="E131" s="40" t="s">
        <v>49</v>
      </c>
      <c r="F131" s="41">
        <v>1600</v>
      </c>
      <c r="G131" s="41">
        <v>0</v>
      </c>
      <c r="H131" s="41">
        <f t="shared" si="3"/>
        <v>1600</v>
      </c>
      <c r="I131">
        <v>3062</v>
      </c>
    </row>
    <row r="132" spans="1:9" ht="12.75" customHeight="1" x14ac:dyDescent="0.2">
      <c r="A132" s="40">
        <v>7</v>
      </c>
      <c r="B132" s="40">
        <v>2019</v>
      </c>
      <c r="C132" s="40" t="str">
        <f t="shared" si="2"/>
        <v>Income: 1</v>
      </c>
      <c r="D132" s="77" t="s">
        <v>357</v>
      </c>
      <c r="E132" s="40" t="s">
        <v>49</v>
      </c>
      <c r="F132" s="41">
        <v>1600</v>
      </c>
      <c r="G132" s="41">
        <v>0</v>
      </c>
      <c r="H132" s="41">
        <f t="shared" si="3"/>
        <v>0</v>
      </c>
      <c r="I132">
        <v>3063</v>
      </c>
    </row>
    <row r="133" spans="1:9" ht="12.75" customHeight="1" x14ac:dyDescent="0.2">
      <c r="A133" s="40">
        <v>8</v>
      </c>
      <c r="B133" s="40">
        <v>2019</v>
      </c>
      <c r="C133" s="40" t="str">
        <f t="shared" ref="C133:C196" si="4">IFERROR("Late Fee "&amp;FIND("Late Fee",E133),IFERROR("Internet "&amp;FIND("Internet",E133),IFERROR("Utilities "&amp;FIND("Utilities",E133),IFERROR("Rent: "&amp;FIND("Rent",E133),IFERROR("Priv Tax: "&amp;FIND("Tax",E133),IFERROR("Income: "&amp;FIND("Payment",E133,1),""))))))</f>
        <v>Rent: 1</v>
      </c>
      <c r="D133" s="77" t="s">
        <v>359</v>
      </c>
      <c r="E133" s="40" t="s">
        <v>360</v>
      </c>
      <c r="F133" s="41">
        <v>0</v>
      </c>
      <c r="G133" s="41">
        <v>3200</v>
      </c>
      <c r="H133" s="41">
        <f t="shared" si="3"/>
        <v>3200</v>
      </c>
      <c r="I133">
        <v>3064</v>
      </c>
    </row>
    <row r="134" spans="1:9" ht="12.75" customHeight="1" x14ac:dyDescent="0.2">
      <c r="A134" s="40">
        <v>7</v>
      </c>
      <c r="B134" s="40">
        <v>2019</v>
      </c>
      <c r="C134" s="40" t="str">
        <f t="shared" si="4"/>
        <v>Income: 1</v>
      </c>
      <c r="D134" s="77" t="s">
        <v>361</v>
      </c>
      <c r="E134" s="40" t="s">
        <v>49</v>
      </c>
      <c r="F134" s="41">
        <v>1600</v>
      </c>
      <c r="G134" s="41">
        <v>0</v>
      </c>
      <c r="H134" s="41">
        <f t="shared" ref="H134:H197" si="5" xml:space="preserve"> H133 + G134 - F134</f>
        <v>1600</v>
      </c>
      <c r="I134">
        <v>3065</v>
      </c>
    </row>
    <row r="135" spans="1:9" ht="12.75" customHeight="1" x14ac:dyDescent="0.2">
      <c r="A135" s="40">
        <v>8</v>
      </c>
      <c r="B135" s="40">
        <v>2019</v>
      </c>
      <c r="C135" s="40" t="str">
        <f t="shared" si="4"/>
        <v>Income: 1</v>
      </c>
      <c r="D135" s="77" t="s">
        <v>359</v>
      </c>
      <c r="E135" s="40" t="s">
        <v>49</v>
      </c>
      <c r="F135" s="41">
        <v>1600</v>
      </c>
      <c r="G135" s="41">
        <v>0</v>
      </c>
      <c r="H135" s="41">
        <f t="shared" si="5"/>
        <v>0</v>
      </c>
      <c r="I135">
        <v>3066</v>
      </c>
    </row>
    <row r="136" spans="1:9" ht="12.75" customHeight="1" x14ac:dyDescent="0.2">
      <c r="A136" s="40">
        <v>9</v>
      </c>
      <c r="B136" s="40">
        <v>2019</v>
      </c>
      <c r="C136" s="40" t="str">
        <f t="shared" si="4"/>
        <v>Rent: 1</v>
      </c>
      <c r="D136" s="77" t="s">
        <v>362</v>
      </c>
      <c r="E136" s="40" t="s">
        <v>363</v>
      </c>
      <c r="F136" s="41">
        <v>0</v>
      </c>
      <c r="G136" s="41">
        <v>3200</v>
      </c>
      <c r="H136" s="41">
        <f t="shared" si="5"/>
        <v>3200</v>
      </c>
      <c r="I136">
        <v>3067</v>
      </c>
    </row>
    <row r="137" spans="1:9" ht="12.75" customHeight="1" x14ac:dyDescent="0.2">
      <c r="A137" s="40">
        <v>9</v>
      </c>
      <c r="B137" s="40">
        <v>2019</v>
      </c>
      <c r="C137" s="40" t="str">
        <f t="shared" si="4"/>
        <v>Income: 1</v>
      </c>
      <c r="D137" s="77" t="s">
        <v>364</v>
      </c>
      <c r="E137" s="40" t="s">
        <v>49</v>
      </c>
      <c r="F137" s="41">
        <v>1600</v>
      </c>
      <c r="G137" s="41">
        <v>0</v>
      </c>
      <c r="H137" s="41">
        <f t="shared" si="5"/>
        <v>1600</v>
      </c>
      <c r="I137">
        <v>3068</v>
      </c>
    </row>
    <row r="138" spans="1:9" ht="12.75" customHeight="1" x14ac:dyDescent="0.2">
      <c r="A138" s="40">
        <v>9</v>
      </c>
      <c r="B138" s="40">
        <v>2019</v>
      </c>
      <c r="C138" s="40" t="str">
        <f t="shared" si="4"/>
        <v>Income: 1</v>
      </c>
      <c r="D138" s="77" t="s">
        <v>364</v>
      </c>
      <c r="E138" s="40" t="s">
        <v>49</v>
      </c>
      <c r="F138" s="41">
        <v>1600</v>
      </c>
      <c r="G138" s="41">
        <v>0</v>
      </c>
      <c r="H138" s="41">
        <f t="shared" si="5"/>
        <v>0</v>
      </c>
      <c r="I138">
        <v>3069</v>
      </c>
    </row>
    <row r="139" spans="1:9" ht="12.75" customHeight="1" x14ac:dyDescent="0.2">
      <c r="A139" s="40">
        <v>10</v>
      </c>
      <c r="B139" s="40">
        <v>2019</v>
      </c>
      <c r="C139" s="40" t="str">
        <f t="shared" si="4"/>
        <v>Rent: 1</v>
      </c>
      <c r="D139" s="77" t="s">
        <v>365</v>
      </c>
      <c r="E139" s="40" t="s">
        <v>366</v>
      </c>
      <c r="F139" s="41">
        <v>0</v>
      </c>
      <c r="G139" s="41">
        <v>3200</v>
      </c>
      <c r="H139" s="41">
        <f t="shared" si="5"/>
        <v>3200</v>
      </c>
      <c r="I139">
        <v>3070</v>
      </c>
    </row>
    <row r="140" spans="1:9" ht="12.75" customHeight="1" x14ac:dyDescent="0.2">
      <c r="A140" s="40">
        <v>9</v>
      </c>
      <c r="B140" s="40">
        <v>2019</v>
      </c>
      <c r="C140" s="40" t="str">
        <f t="shared" si="4"/>
        <v>Income: 1</v>
      </c>
      <c r="D140" s="77" t="s">
        <v>367</v>
      </c>
      <c r="E140" s="40" t="s">
        <v>49</v>
      </c>
      <c r="F140" s="41">
        <v>1600</v>
      </c>
      <c r="G140" s="41">
        <v>0</v>
      </c>
      <c r="H140" s="41">
        <f t="shared" si="5"/>
        <v>1600</v>
      </c>
      <c r="I140">
        <v>3071</v>
      </c>
    </row>
    <row r="141" spans="1:9" ht="12.75" customHeight="1" x14ac:dyDescent="0.2">
      <c r="A141" s="40">
        <v>10</v>
      </c>
      <c r="B141" s="40">
        <v>2019</v>
      </c>
      <c r="C141" s="40" t="str">
        <f t="shared" si="4"/>
        <v>Income: 1</v>
      </c>
      <c r="D141" s="77" t="s">
        <v>365</v>
      </c>
      <c r="E141" s="40" t="s">
        <v>49</v>
      </c>
      <c r="F141" s="41">
        <v>1600</v>
      </c>
      <c r="G141" s="41">
        <v>0</v>
      </c>
      <c r="H141" s="41">
        <f t="shared" si="5"/>
        <v>0</v>
      </c>
      <c r="I141">
        <v>3072</v>
      </c>
    </row>
    <row r="142" spans="1:9" ht="12.75" customHeight="1" x14ac:dyDescent="0.2">
      <c r="A142" s="40">
        <v>11</v>
      </c>
      <c r="B142" s="40">
        <v>2019</v>
      </c>
      <c r="C142" s="40" t="str">
        <f t="shared" si="4"/>
        <v>Rent: 1</v>
      </c>
      <c r="D142" s="77" t="s">
        <v>368</v>
      </c>
      <c r="E142" s="40" t="s">
        <v>369</v>
      </c>
      <c r="F142" s="41">
        <v>0</v>
      </c>
      <c r="G142" s="41">
        <v>3200</v>
      </c>
      <c r="H142" s="41">
        <f t="shared" si="5"/>
        <v>3200</v>
      </c>
      <c r="I142">
        <v>3073</v>
      </c>
    </row>
    <row r="143" spans="1:9" ht="12.75" customHeight="1" x14ac:dyDescent="0.2">
      <c r="A143" s="40">
        <v>10</v>
      </c>
      <c r="B143" s="40">
        <v>2019</v>
      </c>
      <c r="C143" s="40" t="str">
        <f t="shared" si="4"/>
        <v>Income: 1</v>
      </c>
      <c r="D143" s="77" t="s">
        <v>370</v>
      </c>
      <c r="E143" s="40" t="s">
        <v>49</v>
      </c>
      <c r="F143" s="41">
        <v>1600</v>
      </c>
      <c r="G143" s="41">
        <v>0</v>
      </c>
      <c r="H143" s="41">
        <f t="shared" si="5"/>
        <v>1600</v>
      </c>
      <c r="I143">
        <v>3074</v>
      </c>
    </row>
    <row r="144" spans="1:9" ht="12.75" customHeight="1" x14ac:dyDescent="0.2">
      <c r="A144" s="40">
        <v>11</v>
      </c>
      <c r="B144" s="40">
        <v>2019</v>
      </c>
      <c r="C144" s="40" t="str">
        <f t="shared" si="4"/>
        <v>Income: 1</v>
      </c>
      <c r="D144" s="77" t="s">
        <v>368</v>
      </c>
      <c r="E144" s="40" t="s">
        <v>49</v>
      </c>
      <c r="F144" s="41">
        <v>1600</v>
      </c>
      <c r="G144" s="41">
        <v>0</v>
      </c>
      <c r="H144" s="41">
        <f t="shared" si="5"/>
        <v>0</v>
      </c>
      <c r="I144">
        <v>3075</v>
      </c>
    </row>
    <row r="145" spans="1:10" ht="12.75" customHeight="1" x14ac:dyDescent="0.2">
      <c r="A145" s="40">
        <v>12</v>
      </c>
      <c r="B145" s="40">
        <v>2019</v>
      </c>
      <c r="C145" s="40" t="str">
        <f t="shared" si="4"/>
        <v>Rent: 1</v>
      </c>
      <c r="D145" s="77" t="s">
        <v>371</v>
      </c>
      <c r="E145" s="40" t="s">
        <v>372</v>
      </c>
      <c r="F145" s="41">
        <v>0</v>
      </c>
      <c r="G145" s="41">
        <v>3200</v>
      </c>
      <c r="H145" s="41">
        <f t="shared" si="5"/>
        <v>3200</v>
      </c>
      <c r="I145">
        <v>3076</v>
      </c>
    </row>
    <row r="146" spans="1:10" ht="12.75" customHeight="1" x14ac:dyDescent="0.2">
      <c r="A146" s="40">
        <v>12</v>
      </c>
      <c r="B146" s="40">
        <v>2019</v>
      </c>
      <c r="C146" s="40" t="str">
        <f t="shared" si="4"/>
        <v>Income: 1</v>
      </c>
      <c r="D146" s="77" t="s">
        <v>373</v>
      </c>
      <c r="E146" s="40" t="s">
        <v>49</v>
      </c>
      <c r="F146" s="41">
        <v>1600</v>
      </c>
      <c r="G146" s="41">
        <v>0</v>
      </c>
      <c r="H146" s="41">
        <f t="shared" si="5"/>
        <v>1600</v>
      </c>
      <c r="I146" s="51">
        <v>3077</v>
      </c>
      <c r="J146" s="29"/>
    </row>
    <row r="147" spans="1:10" ht="12.75" customHeight="1" x14ac:dyDescent="0.2">
      <c r="A147" s="40">
        <v>12</v>
      </c>
      <c r="B147" s="40">
        <v>2019</v>
      </c>
      <c r="C147" s="40" t="str">
        <f t="shared" si="4"/>
        <v>Income: 1</v>
      </c>
      <c r="D147" s="77" t="s">
        <v>373</v>
      </c>
      <c r="E147" s="40" t="s">
        <v>49</v>
      </c>
      <c r="F147" s="41">
        <v>1600</v>
      </c>
      <c r="G147" s="41">
        <v>0</v>
      </c>
      <c r="H147" s="41">
        <f t="shared" si="5"/>
        <v>0</v>
      </c>
      <c r="I147" s="28">
        <v>3078</v>
      </c>
      <c r="J147" s="14"/>
    </row>
    <row r="148" spans="1:10" ht="12.75" customHeight="1" x14ac:dyDescent="0.2">
      <c r="A148" s="40">
        <v>1</v>
      </c>
      <c r="B148" s="40">
        <v>2020</v>
      </c>
      <c r="C148" s="40" t="str">
        <f t="shared" si="4"/>
        <v>Rent: 1</v>
      </c>
      <c r="D148" s="77" t="s">
        <v>374</v>
      </c>
      <c r="E148" s="40" t="s">
        <v>160</v>
      </c>
      <c r="F148" s="41">
        <v>0</v>
      </c>
      <c r="G148" s="41">
        <v>3200</v>
      </c>
      <c r="H148" s="41">
        <f t="shared" si="5"/>
        <v>3200</v>
      </c>
      <c r="I148">
        <v>3079</v>
      </c>
    </row>
    <row r="149" spans="1:10" ht="12.75" customHeight="1" x14ac:dyDescent="0.2">
      <c r="A149" s="40">
        <v>12</v>
      </c>
      <c r="B149" s="40">
        <v>2019</v>
      </c>
      <c r="C149" s="40" t="str">
        <f t="shared" si="4"/>
        <v>Income: 1</v>
      </c>
      <c r="D149" s="77" t="s">
        <v>375</v>
      </c>
      <c r="E149" s="40" t="s">
        <v>49</v>
      </c>
      <c r="F149" s="41">
        <v>1600</v>
      </c>
      <c r="G149" s="41">
        <v>0</v>
      </c>
      <c r="H149" s="41">
        <f t="shared" si="5"/>
        <v>1600</v>
      </c>
      <c r="I149">
        <v>3080</v>
      </c>
    </row>
    <row r="150" spans="1:10" ht="12.75" customHeight="1" x14ac:dyDescent="0.2">
      <c r="A150" s="40">
        <v>12</v>
      </c>
      <c r="B150" s="40">
        <v>2019</v>
      </c>
      <c r="C150" s="40" t="str">
        <f t="shared" si="4"/>
        <v>Income: 1</v>
      </c>
      <c r="D150" s="77" t="s">
        <v>376</v>
      </c>
      <c r="E150" s="40" t="s">
        <v>49</v>
      </c>
      <c r="F150" s="41">
        <v>1600</v>
      </c>
      <c r="G150" s="41">
        <v>0</v>
      </c>
      <c r="H150" s="41">
        <f t="shared" si="5"/>
        <v>0</v>
      </c>
      <c r="I150">
        <v>3081</v>
      </c>
    </row>
    <row r="151" spans="1:10" ht="12.75" customHeight="1" x14ac:dyDescent="0.2">
      <c r="A151" s="40">
        <v>2</v>
      </c>
      <c r="B151" s="40">
        <v>2020</v>
      </c>
      <c r="C151" s="40" t="str">
        <f t="shared" si="4"/>
        <v>Rent: 1</v>
      </c>
      <c r="D151" s="77" t="s">
        <v>377</v>
      </c>
      <c r="E151" s="40" t="s">
        <v>126</v>
      </c>
      <c r="F151" s="41">
        <v>0</v>
      </c>
      <c r="G151" s="41">
        <v>3200</v>
      </c>
      <c r="H151" s="41">
        <f t="shared" si="5"/>
        <v>3200</v>
      </c>
      <c r="I151">
        <v>3082</v>
      </c>
    </row>
    <row r="152" spans="1:10" ht="12.75" customHeight="1" x14ac:dyDescent="0.2">
      <c r="A152" s="40">
        <v>1</v>
      </c>
      <c r="B152" s="40">
        <v>2020</v>
      </c>
      <c r="C152" s="40" t="str">
        <f t="shared" si="4"/>
        <v>Income: 1</v>
      </c>
      <c r="D152" s="77" t="s">
        <v>378</v>
      </c>
      <c r="E152" s="40" t="s">
        <v>49</v>
      </c>
      <c r="F152" s="41">
        <v>1600</v>
      </c>
      <c r="G152" s="41">
        <v>0</v>
      </c>
      <c r="H152" s="41">
        <f t="shared" si="5"/>
        <v>1600</v>
      </c>
      <c r="I152">
        <v>3083</v>
      </c>
    </row>
    <row r="153" spans="1:10" ht="12.75" customHeight="1" x14ac:dyDescent="0.2">
      <c r="A153" s="40">
        <v>2</v>
      </c>
      <c r="B153" s="40">
        <v>2020</v>
      </c>
      <c r="C153" s="40" t="str">
        <f t="shared" si="4"/>
        <v>Income: 1</v>
      </c>
      <c r="D153" s="77" t="s">
        <v>379</v>
      </c>
      <c r="E153" s="40" t="s">
        <v>49</v>
      </c>
      <c r="F153" s="41">
        <v>1600</v>
      </c>
      <c r="G153" s="41">
        <v>0</v>
      </c>
      <c r="H153" s="41">
        <f t="shared" si="5"/>
        <v>0</v>
      </c>
      <c r="I153">
        <v>3084</v>
      </c>
    </row>
    <row r="154" spans="1:10" ht="12.75" customHeight="1" x14ac:dyDescent="0.2">
      <c r="A154" s="40">
        <v>3</v>
      </c>
      <c r="B154" s="40">
        <v>2020</v>
      </c>
      <c r="C154" s="40" t="str">
        <f t="shared" si="4"/>
        <v>Rent: 1</v>
      </c>
      <c r="D154" s="77" t="s">
        <v>380</v>
      </c>
      <c r="E154" s="40" t="s">
        <v>129</v>
      </c>
      <c r="F154" s="41">
        <v>0</v>
      </c>
      <c r="G154" s="41">
        <v>3200</v>
      </c>
      <c r="H154" s="41">
        <f t="shared" si="5"/>
        <v>3200</v>
      </c>
      <c r="I154">
        <v>3085</v>
      </c>
    </row>
    <row r="155" spans="1:10" ht="12.75" customHeight="1" x14ac:dyDescent="0.2">
      <c r="A155" s="40">
        <v>3</v>
      </c>
      <c r="B155" s="40">
        <v>2020</v>
      </c>
      <c r="C155" s="40" t="str">
        <f t="shared" si="4"/>
        <v>Income: 1</v>
      </c>
      <c r="D155" s="77" t="s">
        <v>381</v>
      </c>
      <c r="E155" s="40" t="s">
        <v>49</v>
      </c>
      <c r="F155" s="41">
        <v>862.5</v>
      </c>
      <c r="G155" s="41">
        <v>0</v>
      </c>
      <c r="H155" s="41">
        <f t="shared" si="5"/>
        <v>2337.5</v>
      </c>
      <c r="I155">
        <v>3086</v>
      </c>
    </row>
    <row r="156" spans="1:10" ht="12.75" customHeight="1" x14ac:dyDescent="0.2">
      <c r="A156" s="40">
        <v>3</v>
      </c>
      <c r="B156" s="40">
        <v>2020</v>
      </c>
      <c r="C156" s="40" t="str">
        <f t="shared" si="4"/>
        <v>Income: 1</v>
      </c>
      <c r="D156" s="77" t="s">
        <v>381</v>
      </c>
      <c r="E156" s="40" t="s">
        <v>49</v>
      </c>
      <c r="F156" s="41">
        <v>1637.5</v>
      </c>
      <c r="G156" s="41">
        <v>0</v>
      </c>
      <c r="H156" s="41">
        <f t="shared" si="5"/>
        <v>700</v>
      </c>
      <c r="I156">
        <v>3087</v>
      </c>
    </row>
    <row r="157" spans="1:10" ht="12.75" customHeight="1" x14ac:dyDescent="0.2">
      <c r="A157" s="40">
        <v>3</v>
      </c>
      <c r="B157" s="40">
        <v>2020</v>
      </c>
      <c r="C157" s="40" t="str">
        <f t="shared" si="4"/>
        <v>Income: 1</v>
      </c>
      <c r="D157" s="77" t="s">
        <v>381</v>
      </c>
      <c r="E157" s="40" t="s">
        <v>49</v>
      </c>
      <c r="F157" s="41">
        <v>775</v>
      </c>
      <c r="G157" s="41">
        <v>0</v>
      </c>
      <c r="H157" s="41">
        <f t="shared" si="5"/>
        <v>-75</v>
      </c>
      <c r="I157">
        <v>3088</v>
      </c>
    </row>
    <row r="158" spans="1:10" ht="12.75" customHeight="1" x14ac:dyDescent="0.2">
      <c r="A158" s="40">
        <v>4</v>
      </c>
      <c r="B158" s="40">
        <v>2020</v>
      </c>
      <c r="C158" s="40" t="str">
        <f t="shared" si="4"/>
        <v>Rent: 1</v>
      </c>
      <c r="D158" s="77" t="s">
        <v>382</v>
      </c>
      <c r="E158" s="40" t="s">
        <v>132</v>
      </c>
      <c r="F158" s="41">
        <v>0</v>
      </c>
      <c r="G158" s="41">
        <v>3275</v>
      </c>
      <c r="H158" s="41">
        <f t="shared" si="5"/>
        <v>3200</v>
      </c>
      <c r="I158" s="29">
        <v>3089</v>
      </c>
    </row>
    <row r="159" spans="1:10" ht="12.75" customHeight="1" x14ac:dyDescent="0.2">
      <c r="A159" s="40">
        <v>3</v>
      </c>
      <c r="B159" s="40">
        <v>2020</v>
      </c>
      <c r="C159" s="40" t="str">
        <f t="shared" si="4"/>
        <v>Income: 1</v>
      </c>
      <c r="D159" s="77" t="s">
        <v>383</v>
      </c>
      <c r="E159" s="40" t="s">
        <v>49</v>
      </c>
      <c r="F159" s="41">
        <v>1600</v>
      </c>
      <c r="G159" s="41">
        <v>0</v>
      </c>
      <c r="H159" s="41">
        <f t="shared" si="5"/>
        <v>1600</v>
      </c>
      <c r="I159" s="28">
        <v>3090</v>
      </c>
    </row>
    <row r="160" spans="1:10" ht="12.75" customHeight="1" x14ac:dyDescent="0.2">
      <c r="A160" s="40">
        <v>4</v>
      </c>
      <c r="B160" s="40">
        <v>2020</v>
      </c>
      <c r="C160" s="40" t="str">
        <f t="shared" si="4"/>
        <v>Income: 1</v>
      </c>
      <c r="D160" s="77" t="s">
        <v>382</v>
      </c>
      <c r="E160" s="40" t="s">
        <v>49</v>
      </c>
      <c r="F160" s="41">
        <v>1600</v>
      </c>
      <c r="G160" s="41">
        <v>0</v>
      </c>
      <c r="H160" s="41">
        <f t="shared" si="5"/>
        <v>0</v>
      </c>
      <c r="I160">
        <v>3091</v>
      </c>
    </row>
    <row r="161" spans="1:9" ht="12.75" customHeight="1" x14ac:dyDescent="0.2">
      <c r="A161" s="40">
        <v>5</v>
      </c>
      <c r="B161" s="40">
        <v>2020</v>
      </c>
      <c r="C161" s="40" t="str">
        <f t="shared" si="4"/>
        <v>Rent: 1</v>
      </c>
      <c r="D161" s="77" t="s">
        <v>384</v>
      </c>
      <c r="E161" s="40" t="s">
        <v>135</v>
      </c>
      <c r="F161" s="41">
        <v>0</v>
      </c>
      <c r="G161" s="41">
        <v>3275</v>
      </c>
      <c r="H161" s="41">
        <f t="shared" si="5"/>
        <v>3275</v>
      </c>
      <c r="I161">
        <v>3092</v>
      </c>
    </row>
    <row r="162" spans="1:9" ht="12.75" customHeight="1" x14ac:dyDescent="0.2">
      <c r="A162" s="40">
        <v>4</v>
      </c>
      <c r="B162" s="40">
        <v>2020</v>
      </c>
      <c r="C162" s="40" t="str">
        <f t="shared" si="4"/>
        <v>Income: 1</v>
      </c>
      <c r="D162" s="77" t="s">
        <v>385</v>
      </c>
      <c r="E162" s="40" t="s">
        <v>49</v>
      </c>
      <c r="F162" s="41">
        <v>1637.5</v>
      </c>
      <c r="G162" s="41">
        <v>0</v>
      </c>
      <c r="H162" s="41">
        <f t="shared" si="5"/>
        <v>1637.5</v>
      </c>
      <c r="I162">
        <v>3093</v>
      </c>
    </row>
    <row r="163" spans="1:9" ht="12.75" customHeight="1" x14ac:dyDescent="0.2">
      <c r="A163" s="40">
        <v>5</v>
      </c>
      <c r="B163" s="40">
        <v>2020</v>
      </c>
      <c r="C163" s="40" t="str">
        <f t="shared" si="4"/>
        <v>Income: 1</v>
      </c>
      <c r="D163" s="77" t="s">
        <v>384</v>
      </c>
      <c r="E163" s="40" t="s">
        <v>49</v>
      </c>
      <c r="F163" s="41">
        <v>1637.5</v>
      </c>
      <c r="G163" s="41">
        <v>0</v>
      </c>
      <c r="H163" s="41">
        <f t="shared" si="5"/>
        <v>0</v>
      </c>
      <c r="I163" s="28">
        <v>3094</v>
      </c>
    </row>
    <row r="164" spans="1:9" ht="12.75" customHeight="1" x14ac:dyDescent="0.2">
      <c r="A164" s="40">
        <v>6</v>
      </c>
      <c r="B164" s="40">
        <v>2020</v>
      </c>
      <c r="C164" s="40" t="str">
        <f t="shared" si="4"/>
        <v>Rent: 1</v>
      </c>
      <c r="D164" s="77" t="s">
        <v>386</v>
      </c>
      <c r="E164" s="40" t="s">
        <v>138</v>
      </c>
      <c r="F164" s="41">
        <v>0</v>
      </c>
      <c r="G164" s="41">
        <v>3275</v>
      </c>
      <c r="H164" s="41">
        <f t="shared" si="5"/>
        <v>3275</v>
      </c>
      <c r="I164" s="28">
        <v>3095</v>
      </c>
    </row>
    <row r="165" spans="1:9" ht="12.75" customHeight="1" x14ac:dyDescent="0.2">
      <c r="A165" s="40">
        <v>6</v>
      </c>
      <c r="B165" s="40">
        <v>2020</v>
      </c>
      <c r="C165" s="40" t="str">
        <f t="shared" si="4"/>
        <v>Income: 1</v>
      </c>
      <c r="D165" s="77" t="s">
        <v>386</v>
      </c>
      <c r="E165" s="40" t="s">
        <v>49</v>
      </c>
      <c r="F165" s="41">
        <v>1637.5</v>
      </c>
      <c r="G165" s="41">
        <v>0</v>
      </c>
      <c r="H165" s="41">
        <f t="shared" si="5"/>
        <v>1637.5</v>
      </c>
      <c r="I165">
        <v>3096</v>
      </c>
    </row>
    <row r="166" spans="1:9" ht="12.75" customHeight="1" x14ac:dyDescent="0.2">
      <c r="A166" s="40">
        <v>6</v>
      </c>
      <c r="B166" s="40">
        <v>2020</v>
      </c>
      <c r="C166" s="40" t="str">
        <f t="shared" si="4"/>
        <v>Income: 1</v>
      </c>
      <c r="D166" s="77" t="s">
        <v>386</v>
      </c>
      <c r="E166" s="40" t="s">
        <v>49</v>
      </c>
      <c r="F166" s="41">
        <v>1637.5</v>
      </c>
      <c r="G166" s="41">
        <v>0</v>
      </c>
      <c r="H166" s="41">
        <f t="shared" si="5"/>
        <v>0</v>
      </c>
      <c r="I166" s="28">
        <v>3097</v>
      </c>
    </row>
    <row r="167" spans="1:9" ht="12.75" customHeight="1" x14ac:dyDescent="0.2">
      <c r="A167" s="40">
        <v>7</v>
      </c>
      <c r="B167" s="40">
        <v>2020</v>
      </c>
      <c r="C167" s="40" t="str">
        <f t="shared" si="4"/>
        <v>Rent: 1</v>
      </c>
      <c r="D167" s="77" t="s">
        <v>387</v>
      </c>
      <c r="E167" s="40" t="s">
        <v>142</v>
      </c>
      <c r="F167" s="41">
        <v>0</v>
      </c>
      <c r="G167" s="41">
        <v>3275</v>
      </c>
      <c r="H167" s="41">
        <f t="shared" si="5"/>
        <v>3275</v>
      </c>
      <c r="I167" s="28">
        <v>3098</v>
      </c>
    </row>
    <row r="168" spans="1:9" ht="12.75" customHeight="1" x14ac:dyDescent="0.2">
      <c r="A168" s="40">
        <v>6</v>
      </c>
      <c r="B168" s="40">
        <v>2020</v>
      </c>
      <c r="C168" s="40" t="str">
        <f t="shared" si="4"/>
        <v>Income: 1</v>
      </c>
      <c r="D168" s="77" t="s">
        <v>388</v>
      </c>
      <c r="E168" s="40" t="s">
        <v>49</v>
      </c>
      <c r="F168" s="41">
        <v>1637.5</v>
      </c>
      <c r="G168" s="41">
        <v>0</v>
      </c>
      <c r="H168" s="41">
        <f t="shared" si="5"/>
        <v>1637.5</v>
      </c>
      <c r="I168">
        <v>3099</v>
      </c>
    </row>
    <row r="169" spans="1:9" ht="12.75" customHeight="1" x14ac:dyDescent="0.2">
      <c r="A169" s="40">
        <v>7</v>
      </c>
      <c r="B169" s="40">
        <v>2020</v>
      </c>
      <c r="C169" s="40" t="str">
        <f t="shared" si="4"/>
        <v>Income: 1</v>
      </c>
      <c r="D169" s="77" t="s">
        <v>387</v>
      </c>
      <c r="E169" s="40" t="s">
        <v>49</v>
      </c>
      <c r="F169" s="41">
        <v>1637.5</v>
      </c>
      <c r="G169" s="41">
        <v>0</v>
      </c>
      <c r="H169" s="41">
        <f t="shared" si="5"/>
        <v>0</v>
      </c>
      <c r="I169" s="28">
        <v>3100</v>
      </c>
    </row>
    <row r="170" spans="1:9" ht="12.75" customHeight="1" x14ac:dyDescent="0.2">
      <c r="A170" s="40">
        <v>8</v>
      </c>
      <c r="B170" s="40">
        <v>2020</v>
      </c>
      <c r="C170" s="40" t="str">
        <f t="shared" si="4"/>
        <v/>
      </c>
      <c r="D170" s="77" t="s">
        <v>389</v>
      </c>
      <c r="E170" s="40" t="s">
        <v>58</v>
      </c>
      <c r="F170" s="41">
        <v>0</v>
      </c>
      <c r="G170" s="41">
        <v>350</v>
      </c>
      <c r="H170" s="41">
        <f t="shared" si="5"/>
        <v>350</v>
      </c>
      <c r="I170" s="28">
        <v>3101</v>
      </c>
    </row>
    <row r="171" spans="1:9" ht="12.75" customHeight="1" x14ac:dyDescent="0.2">
      <c r="A171" s="40">
        <v>8</v>
      </c>
      <c r="B171" s="40">
        <v>2020</v>
      </c>
      <c r="C171" s="40" t="str">
        <f t="shared" si="4"/>
        <v>Income: 1</v>
      </c>
      <c r="D171" s="77" t="s">
        <v>389</v>
      </c>
      <c r="E171" s="40" t="s">
        <v>49</v>
      </c>
      <c r="F171" s="41">
        <v>350</v>
      </c>
      <c r="G171" s="41">
        <v>0</v>
      </c>
      <c r="H171" s="41">
        <f t="shared" si="5"/>
        <v>0</v>
      </c>
      <c r="I171" s="28">
        <v>3102</v>
      </c>
    </row>
    <row r="172" spans="1:9" ht="12.75" customHeight="1" x14ac:dyDescent="0.2">
      <c r="A172" s="40">
        <v>8</v>
      </c>
      <c r="B172" s="40">
        <v>2020</v>
      </c>
      <c r="C172" s="40" t="str">
        <f t="shared" si="4"/>
        <v>Rent: 1</v>
      </c>
      <c r="D172" s="77" t="s">
        <v>390</v>
      </c>
      <c r="E172" s="40" t="s">
        <v>145</v>
      </c>
      <c r="F172" s="41">
        <v>0</v>
      </c>
      <c r="G172" s="41">
        <v>3275</v>
      </c>
      <c r="H172" s="41">
        <f t="shared" si="5"/>
        <v>3275</v>
      </c>
      <c r="I172" s="28">
        <v>3103</v>
      </c>
    </row>
    <row r="173" spans="1:9" ht="12.75" customHeight="1" x14ac:dyDescent="0.2">
      <c r="A173" s="40">
        <v>7</v>
      </c>
      <c r="B173" s="40">
        <v>2020</v>
      </c>
      <c r="C173" s="40" t="str">
        <f t="shared" si="4"/>
        <v>Income: 1</v>
      </c>
      <c r="D173" s="77" t="s">
        <v>391</v>
      </c>
      <c r="E173" s="40" t="s">
        <v>49</v>
      </c>
      <c r="F173" s="41">
        <v>1637.5</v>
      </c>
      <c r="G173" s="41">
        <v>0</v>
      </c>
      <c r="H173" s="41">
        <f t="shared" si="5"/>
        <v>1637.5</v>
      </c>
      <c r="I173">
        <v>3104</v>
      </c>
    </row>
    <row r="174" spans="1:9" ht="12.75" customHeight="1" x14ac:dyDescent="0.2">
      <c r="A174" s="40">
        <v>8</v>
      </c>
      <c r="B174" s="40">
        <v>2020</v>
      </c>
      <c r="C174" s="40" t="str">
        <f t="shared" si="4"/>
        <v>Income: 1</v>
      </c>
      <c r="D174" s="77" t="s">
        <v>392</v>
      </c>
      <c r="E174" s="40" t="s">
        <v>49</v>
      </c>
      <c r="F174" s="41">
        <v>1637.5</v>
      </c>
      <c r="G174" s="41">
        <v>0</v>
      </c>
      <c r="H174" s="41">
        <f t="shared" si="5"/>
        <v>0</v>
      </c>
      <c r="I174" s="28">
        <v>3105</v>
      </c>
    </row>
    <row r="175" spans="1:9" ht="12.75" customHeight="1" x14ac:dyDescent="0.2">
      <c r="A175" s="40">
        <v>9</v>
      </c>
      <c r="B175" s="40">
        <v>2020</v>
      </c>
      <c r="C175" s="40" t="str">
        <f t="shared" si="4"/>
        <v>Rent: 1</v>
      </c>
      <c r="D175" s="77" t="s">
        <v>393</v>
      </c>
      <c r="E175" s="40" t="s">
        <v>148</v>
      </c>
      <c r="F175" s="41">
        <v>0</v>
      </c>
      <c r="G175" s="41">
        <v>3275</v>
      </c>
      <c r="H175" s="41">
        <f t="shared" si="5"/>
        <v>3275</v>
      </c>
      <c r="I175" s="28">
        <v>3106</v>
      </c>
    </row>
    <row r="176" spans="1:9" ht="12.75" customHeight="1" x14ac:dyDescent="0.2">
      <c r="A176" s="40">
        <v>8</v>
      </c>
      <c r="B176" s="40">
        <v>2020</v>
      </c>
      <c r="C176" s="40" t="str">
        <f t="shared" si="4"/>
        <v>Income: 1</v>
      </c>
      <c r="D176" s="77" t="s">
        <v>394</v>
      </c>
      <c r="E176" s="40" t="s">
        <v>49</v>
      </c>
      <c r="F176" s="41">
        <v>1637.5</v>
      </c>
      <c r="G176" s="41">
        <v>0</v>
      </c>
      <c r="H176" s="41">
        <f t="shared" si="5"/>
        <v>1637.5</v>
      </c>
      <c r="I176">
        <v>3107</v>
      </c>
    </row>
    <row r="177" spans="1:9" ht="12.75" customHeight="1" x14ac:dyDescent="0.2">
      <c r="A177" s="40">
        <v>9</v>
      </c>
      <c r="B177" s="40">
        <v>2020</v>
      </c>
      <c r="C177" s="40" t="str">
        <f t="shared" si="4"/>
        <v>Income: 1</v>
      </c>
      <c r="D177" s="77" t="s">
        <v>393</v>
      </c>
      <c r="E177" s="40" t="s">
        <v>49</v>
      </c>
      <c r="F177" s="41">
        <v>1637.5</v>
      </c>
      <c r="G177" s="41">
        <v>0</v>
      </c>
      <c r="H177" s="41">
        <f t="shared" si="5"/>
        <v>0</v>
      </c>
      <c r="I177" s="28">
        <v>3108</v>
      </c>
    </row>
    <row r="178" spans="1:9" ht="12.75" customHeight="1" x14ac:dyDescent="0.2">
      <c r="A178" s="40">
        <v>10</v>
      </c>
      <c r="B178" s="40">
        <v>2020</v>
      </c>
      <c r="C178" s="40" t="str">
        <f t="shared" si="4"/>
        <v>Rent: 1</v>
      </c>
      <c r="D178" s="77" t="s">
        <v>395</v>
      </c>
      <c r="E178" s="40" t="s">
        <v>151</v>
      </c>
      <c r="F178" s="41">
        <v>0</v>
      </c>
      <c r="G178" s="41">
        <v>3275</v>
      </c>
      <c r="H178" s="41">
        <f t="shared" si="5"/>
        <v>3275</v>
      </c>
      <c r="I178" s="28">
        <v>3109</v>
      </c>
    </row>
    <row r="179" spans="1:9" ht="12.75" customHeight="1" x14ac:dyDescent="0.2">
      <c r="A179" s="40">
        <v>9</v>
      </c>
      <c r="B179" s="40">
        <v>2020</v>
      </c>
      <c r="C179" s="40" t="str">
        <f t="shared" si="4"/>
        <v>Income: 1</v>
      </c>
      <c r="D179" s="77" t="s">
        <v>396</v>
      </c>
      <c r="E179" s="40" t="s">
        <v>49</v>
      </c>
      <c r="F179" s="41">
        <v>1637.5</v>
      </c>
      <c r="G179" s="41">
        <v>0</v>
      </c>
      <c r="H179" s="41">
        <f t="shared" si="5"/>
        <v>1637.5</v>
      </c>
      <c r="I179">
        <v>3110</v>
      </c>
    </row>
    <row r="180" spans="1:9" ht="12.75" customHeight="1" x14ac:dyDescent="0.2">
      <c r="A180" s="40">
        <v>10</v>
      </c>
      <c r="B180" s="40">
        <v>2020</v>
      </c>
      <c r="C180" s="40" t="str">
        <f t="shared" si="4"/>
        <v>Income: 1</v>
      </c>
      <c r="D180" s="77" t="s">
        <v>395</v>
      </c>
      <c r="E180" s="40" t="s">
        <v>49</v>
      </c>
      <c r="F180" s="41">
        <v>1637.5</v>
      </c>
      <c r="G180" s="41">
        <v>0</v>
      </c>
      <c r="H180" s="41">
        <f t="shared" si="5"/>
        <v>0</v>
      </c>
      <c r="I180" s="28">
        <v>3111</v>
      </c>
    </row>
    <row r="181" spans="1:9" ht="12.75" customHeight="1" x14ac:dyDescent="0.2">
      <c r="A181" s="40">
        <v>11</v>
      </c>
      <c r="B181" s="40">
        <v>2020</v>
      </c>
      <c r="C181" s="40" t="str">
        <f t="shared" si="4"/>
        <v>Rent: 1</v>
      </c>
      <c r="D181" s="77" t="s">
        <v>397</v>
      </c>
      <c r="E181" s="40" t="s">
        <v>154</v>
      </c>
      <c r="F181" s="41">
        <v>0</v>
      </c>
      <c r="G181" s="41">
        <v>3275</v>
      </c>
      <c r="H181" s="41">
        <f t="shared" si="5"/>
        <v>3275</v>
      </c>
      <c r="I181" s="28">
        <v>3112</v>
      </c>
    </row>
    <row r="182" spans="1:9" ht="12.75" customHeight="1" x14ac:dyDescent="0.2">
      <c r="A182" s="40">
        <v>11</v>
      </c>
      <c r="B182" s="40">
        <v>2020</v>
      </c>
      <c r="C182" s="40" t="str">
        <f t="shared" si="4"/>
        <v>Income: 1</v>
      </c>
      <c r="D182" s="77" t="s">
        <v>398</v>
      </c>
      <c r="E182" s="40" t="s">
        <v>49</v>
      </c>
      <c r="F182" s="41">
        <v>1637.5</v>
      </c>
      <c r="G182" s="41">
        <v>0</v>
      </c>
      <c r="H182" s="41">
        <f t="shared" si="5"/>
        <v>1637.5</v>
      </c>
      <c r="I182">
        <v>3113</v>
      </c>
    </row>
    <row r="183" spans="1:9" ht="12.75" customHeight="1" x14ac:dyDescent="0.2">
      <c r="A183" s="40">
        <v>11</v>
      </c>
      <c r="B183" s="40">
        <v>2020</v>
      </c>
      <c r="C183" s="40" t="str">
        <f t="shared" si="4"/>
        <v>Income: 1</v>
      </c>
      <c r="D183" s="77" t="s">
        <v>398</v>
      </c>
      <c r="E183" s="40" t="s">
        <v>49</v>
      </c>
      <c r="F183" s="41">
        <v>1637.5</v>
      </c>
      <c r="G183" s="41">
        <v>0</v>
      </c>
      <c r="H183" s="41">
        <f t="shared" si="5"/>
        <v>0</v>
      </c>
      <c r="I183" s="28">
        <v>3114</v>
      </c>
    </row>
    <row r="184" spans="1:9" ht="12.75" customHeight="1" x14ac:dyDescent="0.2">
      <c r="A184" s="40">
        <v>12</v>
      </c>
      <c r="B184" s="40">
        <v>2020</v>
      </c>
      <c r="C184" s="40" t="str">
        <f t="shared" si="4"/>
        <v>Rent: 1</v>
      </c>
      <c r="D184" s="77" t="s">
        <v>399</v>
      </c>
      <c r="E184" s="40" t="s">
        <v>157</v>
      </c>
      <c r="F184" s="41">
        <v>0</v>
      </c>
      <c r="G184" s="41">
        <v>3275</v>
      </c>
      <c r="H184" s="41">
        <f t="shared" si="5"/>
        <v>3275</v>
      </c>
      <c r="I184" s="28">
        <v>3115</v>
      </c>
    </row>
    <row r="185" spans="1:9" ht="12.75" customHeight="1" x14ac:dyDescent="0.2">
      <c r="A185" s="40">
        <v>11</v>
      </c>
      <c r="B185" s="40">
        <v>2020</v>
      </c>
      <c r="C185" s="40" t="str">
        <f t="shared" si="4"/>
        <v>Income: 1</v>
      </c>
      <c r="D185" s="77" t="s">
        <v>400</v>
      </c>
      <c r="E185" s="40" t="s">
        <v>49</v>
      </c>
      <c r="F185" s="41">
        <v>1637.5</v>
      </c>
      <c r="G185" s="41">
        <v>0</v>
      </c>
      <c r="H185" s="41">
        <f t="shared" si="5"/>
        <v>1637.5</v>
      </c>
      <c r="I185">
        <v>3116</v>
      </c>
    </row>
    <row r="186" spans="1:9" ht="12.75" customHeight="1" x14ac:dyDescent="0.2">
      <c r="A186" s="40">
        <v>12</v>
      </c>
      <c r="B186" s="40">
        <v>2020</v>
      </c>
      <c r="C186" s="40" t="str">
        <f t="shared" si="4"/>
        <v>Income: 1</v>
      </c>
      <c r="D186" s="77" t="s">
        <v>399</v>
      </c>
      <c r="E186" s="40" t="s">
        <v>49</v>
      </c>
      <c r="F186" s="41">
        <v>1637.5</v>
      </c>
      <c r="G186" s="41">
        <v>0</v>
      </c>
      <c r="H186" s="41">
        <f t="shared" si="5"/>
        <v>0</v>
      </c>
      <c r="I186">
        <v>3117</v>
      </c>
    </row>
    <row r="187" spans="1:9" ht="12.75" customHeight="1" x14ac:dyDescent="0.2">
      <c r="A187" s="40">
        <v>1</v>
      </c>
      <c r="B187" s="40">
        <v>2021</v>
      </c>
      <c r="C187" s="40" t="str">
        <f t="shared" si="4"/>
        <v>Rent: 1</v>
      </c>
      <c r="D187" s="77" t="s">
        <v>401</v>
      </c>
      <c r="E187" s="40" t="s">
        <v>402</v>
      </c>
      <c r="F187" s="41">
        <v>0</v>
      </c>
      <c r="G187" s="41">
        <v>3275</v>
      </c>
      <c r="H187" s="41">
        <f t="shared" si="5"/>
        <v>3275</v>
      </c>
      <c r="I187">
        <v>3118</v>
      </c>
    </row>
    <row r="188" spans="1:9" ht="12.75" customHeight="1" x14ac:dyDescent="0.2">
      <c r="A188" s="40">
        <v>12</v>
      </c>
      <c r="B188" s="40">
        <v>2020</v>
      </c>
      <c r="C188" s="40" t="str">
        <f t="shared" si="4"/>
        <v>Income: 1</v>
      </c>
      <c r="D188" s="77" t="s">
        <v>403</v>
      </c>
      <c r="E188" s="40" t="s">
        <v>49</v>
      </c>
      <c r="F188" s="41">
        <v>1637.5</v>
      </c>
      <c r="G188" s="41">
        <v>0</v>
      </c>
      <c r="H188" s="41">
        <f t="shared" si="5"/>
        <v>1637.5</v>
      </c>
      <c r="I188">
        <v>3119</v>
      </c>
    </row>
    <row r="189" spans="1:9" ht="12.75" customHeight="1" x14ac:dyDescent="0.2">
      <c r="A189" s="40">
        <v>12</v>
      </c>
      <c r="B189" s="40">
        <v>2020</v>
      </c>
      <c r="C189" s="40" t="str">
        <f t="shared" si="4"/>
        <v>Income: 1</v>
      </c>
      <c r="D189" s="77" t="s">
        <v>404</v>
      </c>
      <c r="E189" s="40" t="s">
        <v>49</v>
      </c>
      <c r="F189" s="41">
        <v>1637.5</v>
      </c>
      <c r="G189" s="41">
        <v>0</v>
      </c>
      <c r="H189" s="41">
        <f t="shared" si="5"/>
        <v>0</v>
      </c>
      <c r="I189" s="29">
        <v>3120</v>
      </c>
    </row>
    <row r="190" spans="1:9" ht="12.75" customHeight="1" x14ac:dyDescent="0.2">
      <c r="A190" s="40">
        <v>2</v>
      </c>
      <c r="B190" s="40">
        <v>2021</v>
      </c>
      <c r="C190" s="40" t="str">
        <f t="shared" si="4"/>
        <v>Rent: 1</v>
      </c>
      <c r="D190" s="77" t="s">
        <v>405</v>
      </c>
      <c r="E190" s="40" t="s">
        <v>163</v>
      </c>
      <c r="F190" s="41">
        <v>0</v>
      </c>
      <c r="G190" s="41">
        <v>3275</v>
      </c>
      <c r="H190" s="41">
        <f t="shared" si="5"/>
        <v>3275</v>
      </c>
      <c r="I190" s="29">
        <v>3121</v>
      </c>
    </row>
    <row r="191" spans="1:9" ht="12.75" customHeight="1" x14ac:dyDescent="0.2">
      <c r="A191" s="40">
        <v>2</v>
      </c>
      <c r="B191" s="40">
        <v>2021</v>
      </c>
      <c r="C191" s="40" t="str">
        <f t="shared" si="4"/>
        <v>Income: 1</v>
      </c>
      <c r="D191" s="77" t="s">
        <v>405</v>
      </c>
      <c r="E191" s="40" t="s">
        <v>49</v>
      </c>
      <c r="F191" s="41">
        <v>1637.5</v>
      </c>
      <c r="G191" s="41">
        <v>0</v>
      </c>
      <c r="H191" s="41">
        <f t="shared" si="5"/>
        <v>1637.5</v>
      </c>
      <c r="I191">
        <v>3122</v>
      </c>
    </row>
    <row r="192" spans="1:9" ht="12.75" customHeight="1" x14ac:dyDescent="0.2">
      <c r="A192" s="40">
        <v>2</v>
      </c>
      <c r="B192" s="40">
        <v>2021</v>
      </c>
      <c r="C192" s="40" t="str">
        <f t="shared" si="4"/>
        <v>Income: 1</v>
      </c>
      <c r="D192" s="77" t="s">
        <v>405</v>
      </c>
      <c r="E192" s="40" t="s">
        <v>49</v>
      </c>
      <c r="F192" s="41">
        <v>1637.5</v>
      </c>
      <c r="G192" s="41">
        <v>0</v>
      </c>
      <c r="H192" s="41">
        <f t="shared" si="5"/>
        <v>0</v>
      </c>
      <c r="I192" s="29">
        <v>3123</v>
      </c>
    </row>
    <row r="193" spans="1:9" ht="12.75" customHeight="1" x14ac:dyDescent="0.2">
      <c r="A193" s="40">
        <v>3</v>
      </c>
      <c r="B193" s="40">
        <v>2021</v>
      </c>
      <c r="C193" s="40" t="str">
        <f t="shared" si="4"/>
        <v>Rent: 1</v>
      </c>
      <c r="D193" s="77" t="s">
        <v>406</v>
      </c>
      <c r="E193" s="40" t="s">
        <v>166</v>
      </c>
      <c r="F193" s="41">
        <v>0</v>
      </c>
      <c r="G193" s="41">
        <v>3275</v>
      </c>
      <c r="H193" s="41">
        <f t="shared" si="5"/>
        <v>3275</v>
      </c>
      <c r="I193" s="29">
        <v>3124</v>
      </c>
    </row>
    <row r="194" spans="1:9" ht="12.75" customHeight="1" x14ac:dyDescent="0.2">
      <c r="A194" s="40">
        <v>3</v>
      </c>
      <c r="B194" s="40">
        <v>2021</v>
      </c>
      <c r="C194" s="40" t="str">
        <f t="shared" si="4"/>
        <v>Income: 1</v>
      </c>
      <c r="D194" s="77" t="s">
        <v>406</v>
      </c>
      <c r="E194" s="40" t="s">
        <v>49</v>
      </c>
      <c r="F194" s="41">
        <v>1637.5</v>
      </c>
      <c r="G194" s="41">
        <v>0</v>
      </c>
      <c r="H194" s="41">
        <f t="shared" si="5"/>
        <v>1637.5</v>
      </c>
      <c r="I194">
        <v>3125</v>
      </c>
    </row>
    <row r="195" spans="1:9" ht="12.75" customHeight="1" x14ac:dyDescent="0.2">
      <c r="A195" s="40">
        <v>3</v>
      </c>
      <c r="B195" s="40">
        <v>2021</v>
      </c>
      <c r="C195" s="40" t="str">
        <f t="shared" si="4"/>
        <v>Income: 1</v>
      </c>
      <c r="D195" s="77" t="s">
        <v>406</v>
      </c>
      <c r="E195" s="40" t="s">
        <v>49</v>
      </c>
      <c r="F195" s="41">
        <v>1637.5</v>
      </c>
      <c r="G195" s="41">
        <v>0</v>
      </c>
      <c r="H195" s="41">
        <f t="shared" si="5"/>
        <v>0</v>
      </c>
      <c r="I195" s="29">
        <v>3126</v>
      </c>
    </row>
    <row r="196" spans="1:9" ht="12.75" customHeight="1" x14ac:dyDescent="0.2">
      <c r="A196" s="40">
        <v>4</v>
      </c>
      <c r="B196" s="40">
        <v>2021</v>
      </c>
      <c r="C196" s="40" t="str">
        <f t="shared" si="4"/>
        <v>Rent: 1</v>
      </c>
      <c r="D196" s="77" t="s">
        <v>407</v>
      </c>
      <c r="E196" s="40" t="s">
        <v>169</v>
      </c>
      <c r="F196" s="41">
        <v>0</v>
      </c>
      <c r="G196" s="41">
        <v>3275</v>
      </c>
      <c r="H196" s="41">
        <f t="shared" si="5"/>
        <v>3275</v>
      </c>
      <c r="I196" s="29">
        <v>3127</v>
      </c>
    </row>
    <row r="197" spans="1:9" ht="12.75" customHeight="1" x14ac:dyDescent="0.2">
      <c r="A197" s="40">
        <v>3</v>
      </c>
      <c r="B197" s="40">
        <v>2021</v>
      </c>
      <c r="C197" s="40" t="str">
        <f t="shared" ref="C197:C261" si="6">IFERROR("Late Fee "&amp;FIND("Late Fee",E197),IFERROR("Internet "&amp;FIND("Internet",E197),IFERROR("Utilities "&amp;FIND("Utilities",E197),IFERROR("Rent: "&amp;FIND("Rent",E197),IFERROR("Priv Tax: "&amp;FIND("Tax",E197),IFERROR("Income: "&amp;FIND("Payment",E197,1),""))))))</f>
        <v>Income: 1</v>
      </c>
      <c r="D197" s="77" t="s">
        <v>408</v>
      </c>
      <c r="E197" s="40" t="s">
        <v>49</v>
      </c>
      <c r="F197" s="41">
        <v>1637.5</v>
      </c>
      <c r="G197" s="41">
        <v>0</v>
      </c>
      <c r="H197" s="41">
        <f t="shared" si="5"/>
        <v>1637.5</v>
      </c>
      <c r="I197">
        <v>3128</v>
      </c>
    </row>
    <row r="198" spans="1:9" ht="12.75" customHeight="1" x14ac:dyDescent="0.2">
      <c r="A198" s="40">
        <v>4</v>
      </c>
      <c r="B198" s="40">
        <v>2021</v>
      </c>
      <c r="C198" s="40" t="str">
        <f t="shared" si="6"/>
        <v>Income: 1</v>
      </c>
      <c r="D198" s="77" t="s">
        <v>407</v>
      </c>
      <c r="E198" s="40" t="s">
        <v>49</v>
      </c>
      <c r="F198" s="41">
        <v>1637.5</v>
      </c>
      <c r="G198" s="41">
        <v>0</v>
      </c>
      <c r="H198" s="41">
        <f t="shared" ref="H198:H261" si="7" xml:space="preserve"> H197 + G198 - F198</f>
        <v>0</v>
      </c>
      <c r="I198" s="29">
        <v>3129</v>
      </c>
    </row>
    <row r="199" spans="1:9" ht="12.75" customHeight="1" x14ac:dyDescent="0.2">
      <c r="A199" s="40">
        <v>5</v>
      </c>
      <c r="B199" s="40">
        <v>2021</v>
      </c>
      <c r="C199" s="40" t="str">
        <f t="shared" si="6"/>
        <v>Rent: 1</v>
      </c>
      <c r="D199" s="77" t="s">
        <v>409</v>
      </c>
      <c r="E199" s="40" t="s">
        <v>172</v>
      </c>
      <c r="F199" s="41">
        <v>0</v>
      </c>
      <c r="G199" s="41">
        <v>3275</v>
      </c>
      <c r="H199" s="41">
        <f t="shared" si="7"/>
        <v>3275</v>
      </c>
      <c r="I199" s="29">
        <v>3130</v>
      </c>
    </row>
    <row r="200" spans="1:9" ht="12.75" customHeight="1" x14ac:dyDescent="0.2">
      <c r="A200" s="40">
        <v>4</v>
      </c>
      <c r="B200" s="40">
        <v>2021</v>
      </c>
      <c r="C200" s="40" t="str">
        <f t="shared" si="6"/>
        <v>Income: 1</v>
      </c>
      <c r="D200" s="77" t="s">
        <v>410</v>
      </c>
      <c r="E200" s="40" t="s">
        <v>49</v>
      </c>
      <c r="F200" s="41">
        <v>1637.5</v>
      </c>
      <c r="G200" s="41">
        <v>0</v>
      </c>
      <c r="H200" s="41">
        <f t="shared" si="7"/>
        <v>1637.5</v>
      </c>
      <c r="I200">
        <v>3131</v>
      </c>
    </row>
    <row r="201" spans="1:9" ht="12.75" customHeight="1" x14ac:dyDescent="0.2">
      <c r="A201" s="40">
        <v>5</v>
      </c>
      <c r="B201" s="40">
        <v>2021</v>
      </c>
      <c r="C201" s="40" t="str">
        <f t="shared" si="6"/>
        <v>Income: 1</v>
      </c>
      <c r="D201" s="77" t="s">
        <v>411</v>
      </c>
      <c r="E201" s="40" t="s">
        <v>49</v>
      </c>
      <c r="F201" s="41">
        <v>1637.5</v>
      </c>
      <c r="G201" s="41">
        <v>0</v>
      </c>
      <c r="H201" s="41">
        <f t="shared" si="7"/>
        <v>0</v>
      </c>
      <c r="I201" s="29">
        <v>3132</v>
      </c>
    </row>
    <row r="202" spans="1:9" ht="12.75" customHeight="1" x14ac:dyDescent="0.2">
      <c r="A202" s="40">
        <v>6</v>
      </c>
      <c r="B202" s="40">
        <v>2021</v>
      </c>
      <c r="C202" s="40" t="str">
        <f t="shared" si="6"/>
        <v>Rent: 1</v>
      </c>
      <c r="D202" s="77" t="s">
        <v>412</v>
      </c>
      <c r="E202" s="40" t="s">
        <v>175</v>
      </c>
      <c r="F202" s="41">
        <v>0</v>
      </c>
      <c r="G202" s="41">
        <v>3275</v>
      </c>
      <c r="H202" s="41">
        <f t="shared" si="7"/>
        <v>3275</v>
      </c>
      <c r="I202" s="29">
        <v>3133</v>
      </c>
    </row>
    <row r="203" spans="1:9" ht="12.75" customHeight="1" x14ac:dyDescent="0.2">
      <c r="A203" s="40">
        <v>6</v>
      </c>
      <c r="B203" s="40">
        <v>2021</v>
      </c>
      <c r="C203" s="40" t="str">
        <f t="shared" si="6"/>
        <v>Income: 1</v>
      </c>
      <c r="D203" s="77" t="s">
        <v>412</v>
      </c>
      <c r="E203" s="40" t="s">
        <v>49</v>
      </c>
      <c r="F203" s="41">
        <v>1637.5</v>
      </c>
      <c r="G203" s="41">
        <v>0</v>
      </c>
      <c r="H203" s="41">
        <f t="shared" si="7"/>
        <v>1637.5</v>
      </c>
      <c r="I203">
        <v>3134</v>
      </c>
    </row>
    <row r="204" spans="1:9" ht="12.75" customHeight="1" x14ac:dyDescent="0.2">
      <c r="A204" s="40">
        <v>6</v>
      </c>
      <c r="B204" s="40">
        <v>2021</v>
      </c>
      <c r="C204" s="40" t="str">
        <f t="shared" si="6"/>
        <v>Income: 1</v>
      </c>
      <c r="D204" s="77" t="s">
        <v>412</v>
      </c>
      <c r="E204" s="40" t="s">
        <v>49</v>
      </c>
      <c r="F204" s="41">
        <v>1637.5</v>
      </c>
      <c r="G204" s="41">
        <v>0</v>
      </c>
      <c r="H204" s="41">
        <f t="shared" si="7"/>
        <v>0</v>
      </c>
      <c r="I204" s="29">
        <v>3135</v>
      </c>
    </row>
    <row r="205" spans="1:9" ht="12.75" customHeight="1" x14ac:dyDescent="0.2">
      <c r="A205" s="40">
        <v>7</v>
      </c>
      <c r="B205" s="40">
        <v>2021</v>
      </c>
      <c r="C205" s="40" t="str">
        <f t="shared" si="6"/>
        <v>Rent: 1</v>
      </c>
      <c r="D205" s="77" t="s">
        <v>413</v>
      </c>
      <c r="E205" s="40" t="s">
        <v>178</v>
      </c>
      <c r="F205" s="41">
        <v>0</v>
      </c>
      <c r="G205" s="41">
        <v>3275</v>
      </c>
      <c r="H205" s="41">
        <f t="shared" si="7"/>
        <v>3275</v>
      </c>
      <c r="I205" s="29">
        <v>3136</v>
      </c>
    </row>
    <row r="206" spans="1:9" ht="12.75" customHeight="1" x14ac:dyDescent="0.2">
      <c r="A206" s="40">
        <v>6</v>
      </c>
      <c r="B206" s="40">
        <v>2021</v>
      </c>
      <c r="C206" s="40" t="str">
        <f t="shared" si="6"/>
        <v>Income: 1</v>
      </c>
      <c r="D206" s="77" t="s">
        <v>414</v>
      </c>
      <c r="E206" s="40" t="s">
        <v>49</v>
      </c>
      <c r="F206" s="41">
        <v>1637.5</v>
      </c>
      <c r="G206" s="41">
        <v>0</v>
      </c>
      <c r="H206" s="41">
        <f t="shared" si="7"/>
        <v>1637.5</v>
      </c>
      <c r="I206">
        <v>3137</v>
      </c>
    </row>
    <row r="207" spans="1:9" ht="12.75" customHeight="1" x14ac:dyDescent="0.2">
      <c r="A207" s="40">
        <v>7</v>
      </c>
      <c r="B207" s="40">
        <v>2021</v>
      </c>
      <c r="C207" s="40" t="str">
        <f t="shared" si="6"/>
        <v>Income: 1</v>
      </c>
      <c r="D207" s="77" t="s">
        <v>415</v>
      </c>
      <c r="E207" s="40" t="s">
        <v>49</v>
      </c>
      <c r="F207" s="41">
        <v>1637.5</v>
      </c>
      <c r="G207" s="41">
        <v>0</v>
      </c>
      <c r="H207" s="41">
        <f t="shared" si="7"/>
        <v>0</v>
      </c>
      <c r="I207">
        <v>3138</v>
      </c>
    </row>
    <row r="208" spans="1:9" ht="12.75" customHeight="1" x14ac:dyDescent="0.2">
      <c r="A208" s="40">
        <v>8</v>
      </c>
      <c r="B208" s="40">
        <v>2021</v>
      </c>
      <c r="C208" s="40" t="str">
        <f t="shared" si="6"/>
        <v>Rent: 1</v>
      </c>
      <c r="D208" s="77" t="s">
        <v>416</v>
      </c>
      <c r="E208" s="40" t="s">
        <v>181</v>
      </c>
      <c r="F208" s="41">
        <v>0</v>
      </c>
      <c r="G208" s="41">
        <v>3275</v>
      </c>
      <c r="H208" s="41">
        <f t="shared" si="7"/>
        <v>3275</v>
      </c>
      <c r="I208">
        <v>3139</v>
      </c>
    </row>
    <row r="209" spans="1:9" ht="12.75" customHeight="1" x14ac:dyDescent="0.2">
      <c r="A209" s="40">
        <v>8</v>
      </c>
      <c r="B209" s="40">
        <v>2021</v>
      </c>
      <c r="C209" s="40" t="str">
        <f t="shared" si="6"/>
        <v>Income: 1</v>
      </c>
      <c r="D209" s="77" t="s">
        <v>417</v>
      </c>
      <c r="E209" s="40" t="s">
        <v>49</v>
      </c>
      <c r="F209" s="41">
        <v>1637.5</v>
      </c>
      <c r="G209" s="41">
        <v>0</v>
      </c>
      <c r="H209" s="41">
        <f t="shared" si="7"/>
        <v>1637.5</v>
      </c>
      <c r="I209">
        <v>3140</v>
      </c>
    </row>
    <row r="210" spans="1:9" ht="12.75" customHeight="1" x14ac:dyDescent="0.2">
      <c r="A210" s="40">
        <v>8</v>
      </c>
      <c r="B210" s="40">
        <v>2021</v>
      </c>
      <c r="C210" s="40" t="str">
        <f t="shared" si="6"/>
        <v>Income: 1</v>
      </c>
      <c r="D210" s="77" t="s">
        <v>417</v>
      </c>
      <c r="E210" s="40" t="s">
        <v>49</v>
      </c>
      <c r="F210" s="41">
        <v>1637.5</v>
      </c>
      <c r="G210" s="41">
        <v>0</v>
      </c>
      <c r="H210" s="41">
        <f t="shared" si="7"/>
        <v>0</v>
      </c>
      <c r="I210">
        <v>3141</v>
      </c>
    </row>
    <row r="211" spans="1:9" ht="12.75" customHeight="1" x14ac:dyDescent="0.2">
      <c r="A211" s="40">
        <v>9</v>
      </c>
      <c r="B211" s="40">
        <v>2021</v>
      </c>
      <c r="C211" s="40" t="str">
        <f t="shared" si="6"/>
        <v>Rent: 1</v>
      </c>
      <c r="D211" s="77" t="s">
        <v>418</v>
      </c>
      <c r="E211" s="40" t="s">
        <v>184</v>
      </c>
      <c r="F211" s="41">
        <v>0</v>
      </c>
      <c r="G211" s="41">
        <v>3275</v>
      </c>
      <c r="H211" s="41">
        <f t="shared" si="7"/>
        <v>3275</v>
      </c>
      <c r="I211">
        <v>3142</v>
      </c>
    </row>
    <row r="212" spans="1:9" ht="12.75" customHeight="1" x14ac:dyDescent="0.2">
      <c r="A212" s="40">
        <v>8</v>
      </c>
      <c r="B212" s="40">
        <v>2021</v>
      </c>
      <c r="C212" s="40" t="str">
        <f t="shared" si="6"/>
        <v>Income: 1</v>
      </c>
      <c r="D212" s="77" t="s">
        <v>419</v>
      </c>
      <c r="E212" s="40" t="s">
        <v>49</v>
      </c>
      <c r="F212" s="41">
        <v>1637.5</v>
      </c>
      <c r="G212" s="41">
        <v>0</v>
      </c>
      <c r="H212" s="41">
        <f t="shared" si="7"/>
        <v>1637.5</v>
      </c>
      <c r="I212">
        <v>3143</v>
      </c>
    </row>
    <row r="213" spans="1:9" ht="12.75" customHeight="1" x14ac:dyDescent="0.2">
      <c r="A213" s="40">
        <v>9</v>
      </c>
      <c r="B213" s="40">
        <v>2021</v>
      </c>
      <c r="C213" s="40" t="str">
        <f t="shared" si="6"/>
        <v>Income: 1</v>
      </c>
      <c r="D213" s="77" t="s">
        <v>418</v>
      </c>
      <c r="E213" s="40" t="s">
        <v>49</v>
      </c>
      <c r="F213" s="41">
        <v>1637.5</v>
      </c>
      <c r="G213" s="41">
        <v>0</v>
      </c>
      <c r="H213" s="41">
        <f t="shared" si="7"/>
        <v>0</v>
      </c>
      <c r="I213">
        <v>3144</v>
      </c>
    </row>
    <row r="214" spans="1:9" ht="12.75" customHeight="1" x14ac:dyDescent="0.2">
      <c r="A214" s="40">
        <v>10</v>
      </c>
      <c r="B214" s="40">
        <v>2021</v>
      </c>
      <c r="C214" s="40" t="str">
        <f t="shared" si="6"/>
        <v>Rent: 1</v>
      </c>
      <c r="D214" s="77" t="s">
        <v>420</v>
      </c>
      <c r="E214" s="40" t="s">
        <v>187</v>
      </c>
      <c r="F214" s="41">
        <v>0</v>
      </c>
      <c r="G214" s="41">
        <v>3275</v>
      </c>
      <c r="H214" s="41">
        <f t="shared" si="7"/>
        <v>3275</v>
      </c>
      <c r="I214">
        <v>3145</v>
      </c>
    </row>
    <row r="215" spans="1:9" ht="12.75" customHeight="1" x14ac:dyDescent="0.2">
      <c r="A215" s="40">
        <v>9</v>
      </c>
      <c r="B215" s="40">
        <v>2021</v>
      </c>
      <c r="C215" s="40" t="str">
        <f t="shared" si="6"/>
        <v>Income: 1</v>
      </c>
      <c r="D215" s="77" t="s">
        <v>421</v>
      </c>
      <c r="E215" s="40" t="s">
        <v>49</v>
      </c>
      <c r="F215" s="41">
        <v>1637.5</v>
      </c>
      <c r="G215" s="41">
        <v>0</v>
      </c>
      <c r="H215" s="41">
        <f t="shared" si="7"/>
        <v>1637.5</v>
      </c>
      <c r="I215">
        <v>3146</v>
      </c>
    </row>
    <row r="216" spans="1:9" ht="12.75" customHeight="1" x14ac:dyDescent="0.2">
      <c r="A216" s="40">
        <v>10</v>
      </c>
      <c r="B216" s="40">
        <v>2021</v>
      </c>
      <c r="C216" s="40" t="str">
        <f t="shared" si="6"/>
        <v>Income: 1</v>
      </c>
      <c r="D216" s="77" t="s">
        <v>420</v>
      </c>
      <c r="E216" s="40" t="s">
        <v>49</v>
      </c>
      <c r="F216" s="41">
        <v>1637.5</v>
      </c>
      <c r="G216" s="41">
        <v>0</v>
      </c>
      <c r="H216" s="41">
        <f t="shared" si="7"/>
        <v>0</v>
      </c>
      <c r="I216">
        <v>3147</v>
      </c>
    </row>
    <row r="217" spans="1:9" ht="12.75" customHeight="1" x14ac:dyDescent="0.2">
      <c r="A217" s="40">
        <v>11</v>
      </c>
      <c r="B217" s="40">
        <v>2021</v>
      </c>
      <c r="C217" s="40" t="str">
        <f t="shared" si="6"/>
        <v>Rent: 1</v>
      </c>
      <c r="D217" s="77" t="s">
        <v>422</v>
      </c>
      <c r="E217" s="40" t="s">
        <v>190</v>
      </c>
      <c r="F217" s="41">
        <v>0</v>
      </c>
      <c r="G217" s="41">
        <v>3275</v>
      </c>
      <c r="H217" s="41">
        <f t="shared" si="7"/>
        <v>3275</v>
      </c>
      <c r="I217">
        <v>3148</v>
      </c>
    </row>
    <row r="218" spans="1:9" ht="12.75" customHeight="1" x14ac:dyDescent="0.2">
      <c r="A218" s="40">
        <v>11</v>
      </c>
      <c r="B218" s="40">
        <v>2021</v>
      </c>
      <c r="C218" s="40" t="str">
        <f t="shared" si="6"/>
        <v>Income: 1</v>
      </c>
      <c r="D218" s="77" t="s">
        <v>422</v>
      </c>
      <c r="E218" s="40" t="s">
        <v>49</v>
      </c>
      <c r="F218" s="41">
        <v>1637.5</v>
      </c>
      <c r="G218" s="41">
        <v>0</v>
      </c>
      <c r="H218" s="41">
        <f t="shared" si="7"/>
        <v>1637.5</v>
      </c>
      <c r="I218">
        <v>3149</v>
      </c>
    </row>
    <row r="219" spans="1:9" ht="12.75" customHeight="1" x14ac:dyDescent="0.2">
      <c r="A219" s="40">
        <v>11</v>
      </c>
      <c r="B219" s="40">
        <v>2021</v>
      </c>
      <c r="C219" s="40" t="str">
        <f t="shared" si="6"/>
        <v>Income: 1</v>
      </c>
      <c r="D219" s="77" t="s">
        <v>423</v>
      </c>
      <c r="E219" s="40" t="s">
        <v>49</v>
      </c>
      <c r="F219" s="41">
        <v>1637.5</v>
      </c>
      <c r="G219" s="41">
        <v>0</v>
      </c>
      <c r="H219" s="41">
        <f t="shared" si="7"/>
        <v>0</v>
      </c>
      <c r="I219">
        <v>3150</v>
      </c>
    </row>
    <row r="220" spans="1:9" ht="12.75" customHeight="1" x14ac:dyDescent="0.2">
      <c r="A220" s="40">
        <v>12</v>
      </c>
      <c r="B220" s="40">
        <v>2021</v>
      </c>
      <c r="C220" s="40" t="str">
        <f t="shared" si="6"/>
        <v>Rent: 1</v>
      </c>
      <c r="D220" s="77" t="s">
        <v>424</v>
      </c>
      <c r="E220" s="40" t="s">
        <v>193</v>
      </c>
      <c r="F220" s="41">
        <v>0</v>
      </c>
      <c r="G220" s="41">
        <v>3275</v>
      </c>
      <c r="H220" s="41">
        <f t="shared" si="7"/>
        <v>3275</v>
      </c>
      <c r="I220">
        <v>3151</v>
      </c>
    </row>
    <row r="221" spans="1:9" ht="12.75" customHeight="1" x14ac:dyDescent="0.2">
      <c r="A221" s="40">
        <v>11</v>
      </c>
      <c r="B221" s="40">
        <v>2021</v>
      </c>
      <c r="C221" s="40" t="str">
        <f t="shared" si="6"/>
        <v>Income: 1</v>
      </c>
      <c r="D221" s="77" t="s">
        <v>425</v>
      </c>
      <c r="E221" s="40" t="s">
        <v>49</v>
      </c>
      <c r="F221" s="41">
        <v>1637.5</v>
      </c>
      <c r="G221" s="41">
        <v>0</v>
      </c>
      <c r="H221" s="41">
        <f t="shared" si="7"/>
        <v>1637.5</v>
      </c>
      <c r="I221">
        <v>3152</v>
      </c>
    </row>
    <row r="222" spans="1:9" ht="12.75" customHeight="1" x14ac:dyDescent="0.2">
      <c r="A222" s="40">
        <v>12</v>
      </c>
      <c r="B222" s="40">
        <v>2021</v>
      </c>
      <c r="C222" s="40" t="str">
        <f t="shared" si="6"/>
        <v>Income: 1</v>
      </c>
      <c r="D222" s="77" t="s">
        <v>424</v>
      </c>
      <c r="E222" s="40" t="s">
        <v>49</v>
      </c>
      <c r="F222" s="41">
        <v>1637.5</v>
      </c>
      <c r="G222" s="41">
        <v>0</v>
      </c>
      <c r="H222" s="41">
        <f t="shared" si="7"/>
        <v>0</v>
      </c>
      <c r="I222">
        <v>3153</v>
      </c>
    </row>
    <row r="223" spans="1:9" ht="12.75" customHeight="1" x14ac:dyDescent="0.2">
      <c r="A223" s="40">
        <v>1</v>
      </c>
      <c r="B223" s="40">
        <v>2022</v>
      </c>
      <c r="C223" s="40" t="str">
        <f t="shared" si="6"/>
        <v>Rent: 1</v>
      </c>
      <c r="D223" s="77" t="s">
        <v>426</v>
      </c>
      <c r="E223" s="40" t="s">
        <v>196</v>
      </c>
      <c r="F223" s="41">
        <v>0</v>
      </c>
      <c r="G223" s="41">
        <v>3275</v>
      </c>
      <c r="H223" s="41">
        <f t="shared" si="7"/>
        <v>3275</v>
      </c>
      <c r="I223">
        <v>3154</v>
      </c>
    </row>
    <row r="224" spans="1:9" ht="12.75" customHeight="1" x14ac:dyDescent="0.2">
      <c r="A224" s="40">
        <v>12</v>
      </c>
      <c r="B224" s="40">
        <v>2021</v>
      </c>
      <c r="C224" s="40" t="str">
        <f t="shared" si="6"/>
        <v>Income: 1</v>
      </c>
      <c r="D224" s="77" t="s">
        <v>427</v>
      </c>
      <c r="E224" s="40" t="s">
        <v>49</v>
      </c>
      <c r="F224" s="41">
        <v>1637.5</v>
      </c>
      <c r="G224" s="41">
        <v>0</v>
      </c>
      <c r="H224" s="41">
        <f t="shared" si="7"/>
        <v>1637.5</v>
      </c>
      <c r="I224">
        <v>3155</v>
      </c>
    </row>
    <row r="225" spans="1:9" ht="12.75" customHeight="1" x14ac:dyDescent="0.2">
      <c r="A225" s="40">
        <v>12</v>
      </c>
      <c r="B225" s="40">
        <v>2021</v>
      </c>
      <c r="C225" s="40" t="str">
        <f t="shared" si="6"/>
        <v>Income: 1</v>
      </c>
      <c r="D225" s="77" t="s">
        <v>428</v>
      </c>
      <c r="E225" s="40" t="s">
        <v>49</v>
      </c>
      <c r="F225" s="41">
        <v>1637.5</v>
      </c>
      <c r="G225" s="41">
        <v>0</v>
      </c>
      <c r="H225" s="41">
        <f t="shared" si="7"/>
        <v>0</v>
      </c>
      <c r="I225">
        <v>3156</v>
      </c>
    </row>
    <row r="226" spans="1:9" ht="12.75" customHeight="1" x14ac:dyDescent="0.2">
      <c r="A226" s="40">
        <v>2</v>
      </c>
      <c r="B226" s="40">
        <v>2022</v>
      </c>
      <c r="C226" s="40" t="str">
        <f t="shared" si="6"/>
        <v>Rent: 1</v>
      </c>
      <c r="D226" s="77" t="s">
        <v>429</v>
      </c>
      <c r="E226" s="40" t="s">
        <v>199</v>
      </c>
      <c r="F226" s="41">
        <v>0</v>
      </c>
      <c r="G226" s="41">
        <v>3275</v>
      </c>
      <c r="H226" s="41">
        <f t="shared" si="7"/>
        <v>3275</v>
      </c>
      <c r="I226">
        <v>3157</v>
      </c>
    </row>
    <row r="227" spans="1:9" ht="12.75" customHeight="1" x14ac:dyDescent="0.2">
      <c r="A227" s="40">
        <v>1</v>
      </c>
      <c r="B227" s="40">
        <v>2022</v>
      </c>
      <c r="C227" s="40" t="str">
        <f t="shared" si="6"/>
        <v>Income: 1</v>
      </c>
      <c r="D227" s="77" t="s">
        <v>430</v>
      </c>
      <c r="E227" s="40" t="s">
        <v>49</v>
      </c>
      <c r="F227" s="41">
        <v>1637.5</v>
      </c>
      <c r="G227" s="41">
        <v>0</v>
      </c>
      <c r="H227" s="41">
        <f t="shared" si="7"/>
        <v>1637.5</v>
      </c>
      <c r="I227">
        <v>3158</v>
      </c>
    </row>
    <row r="228" spans="1:9" ht="12.75" customHeight="1" x14ac:dyDescent="0.2">
      <c r="A228" s="40">
        <v>2</v>
      </c>
      <c r="B228" s="40">
        <v>2022</v>
      </c>
      <c r="C228" s="40" t="str">
        <f t="shared" si="6"/>
        <v>Income: 1</v>
      </c>
      <c r="D228" s="77" t="s">
        <v>429</v>
      </c>
      <c r="E228" s="40" t="s">
        <v>49</v>
      </c>
      <c r="F228" s="41">
        <v>1637.5</v>
      </c>
      <c r="G228" s="41">
        <v>0</v>
      </c>
      <c r="H228" s="41">
        <f t="shared" si="7"/>
        <v>0</v>
      </c>
      <c r="I228">
        <v>3159</v>
      </c>
    </row>
    <row r="229" spans="1:9" ht="12.75" customHeight="1" x14ac:dyDescent="0.2">
      <c r="A229" s="40">
        <v>3</v>
      </c>
      <c r="B229" s="40">
        <v>2022</v>
      </c>
      <c r="C229" s="40" t="str">
        <f t="shared" si="6"/>
        <v>Rent: 1</v>
      </c>
      <c r="D229" s="77" t="s">
        <v>431</v>
      </c>
      <c r="E229" s="40" t="s">
        <v>202</v>
      </c>
      <c r="F229" s="41">
        <v>0</v>
      </c>
      <c r="G229" s="41">
        <v>3275</v>
      </c>
      <c r="H229" s="41">
        <f t="shared" si="7"/>
        <v>3275</v>
      </c>
      <c r="I229">
        <v>3160</v>
      </c>
    </row>
    <row r="230" spans="1:9" ht="12.75" customHeight="1" x14ac:dyDescent="0.2">
      <c r="A230" s="40">
        <v>2</v>
      </c>
      <c r="B230" s="40">
        <v>2022</v>
      </c>
      <c r="C230" s="40" t="str">
        <f t="shared" si="6"/>
        <v>Income: 1</v>
      </c>
      <c r="D230" s="77" t="s">
        <v>432</v>
      </c>
      <c r="E230" s="40" t="s">
        <v>49</v>
      </c>
      <c r="F230" s="41">
        <v>1637.5</v>
      </c>
      <c r="G230" s="41">
        <v>0</v>
      </c>
      <c r="H230" s="41">
        <f t="shared" si="7"/>
        <v>1637.5</v>
      </c>
      <c r="I230">
        <v>3161</v>
      </c>
    </row>
    <row r="231" spans="1:9" ht="12.75" customHeight="1" x14ac:dyDescent="0.2">
      <c r="A231" s="40">
        <v>3</v>
      </c>
      <c r="B231" s="40">
        <v>2022</v>
      </c>
      <c r="C231" s="40" t="str">
        <f t="shared" si="6"/>
        <v>Income: 1</v>
      </c>
      <c r="D231" s="77" t="s">
        <v>431</v>
      </c>
      <c r="E231" s="40" t="s">
        <v>49</v>
      </c>
      <c r="F231" s="41">
        <v>1637.5</v>
      </c>
      <c r="G231" s="41">
        <v>0</v>
      </c>
      <c r="H231" s="41">
        <f t="shared" si="7"/>
        <v>0</v>
      </c>
      <c r="I231">
        <v>3162</v>
      </c>
    </row>
    <row r="232" spans="1:9" ht="12.75" customHeight="1" x14ac:dyDescent="0.2">
      <c r="A232" s="40">
        <v>4</v>
      </c>
      <c r="B232" s="40">
        <v>2022</v>
      </c>
      <c r="C232" s="40" t="str">
        <f t="shared" si="6"/>
        <v>Rent: 1</v>
      </c>
      <c r="D232" s="77" t="s">
        <v>433</v>
      </c>
      <c r="E232" s="40" t="s">
        <v>205</v>
      </c>
      <c r="F232" s="41">
        <v>0</v>
      </c>
      <c r="G232" s="41">
        <v>3275</v>
      </c>
      <c r="H232" s="41">
        <f t="shared" si="7"/>
        <v>3275</v>
      </c>
      <c r="I232">
        <v>3163</v>
      </c>
    </row>
    <row r="233" spans="1:9" ht="12.75" customHeight="1" x14ac:dyDescent="0.2">
      <c r="A233" s="40">
        <v>3</v>
      </c>
      <c r="B233" s="40">
        <v>2022</v>
      </c>
      <c r="C233" s="40" t="str">
        <f t="shared" si="6"/>
        <v>Income: 1</v>
      </c>
      <c r="D233" s="77" t="s">
        <v>434</v>
      </c>
      <c r="E233" s="40" t="s">
        <v>49</v>
      </c>
      <c r="F233" s="41">
        <v>1637.5</v>
      </c>
      <c r="G233" s="41">
        <v>0</v>
      </c>
      <c r="H233" s="41">
        <f t="shared" si="7"/>
        <v>1637.5</v>
      </c>
      <c r="I233">
        <v>3164</v>
      </c>
    </row>
    <row r="234" spans="1:9" ht="12.75" customHeight="1" x14ac:dyDescent="0.2">
      <c r="A234" s="40">
        <v>4</v>
      </c>
      <c r="B234" s="40">
        <v>2022</v>
      </c>
      <c r="C234" s="40" t="str">
        <f t="shared" si="6"/>
        <v>Income: 1</v>
      </c>
      <c r="D234" s="77" t="s">
        <v>433</v>
      </c>
      <c r="E234" s="40" t="s">
        <v>49</v>
      </c>
      <c r="F234" s="41">
        <v>1637.5</v>
      </c>
      <c r="G234" s="41">
        <v>0</v>
      </c>
      <c r="H234" s="41">
        <f t="shared" si="7"/>
        <v>0</v>
      </c>
      <c r="I234">
        <v>3165</v>
      </c>
    </row>
    <row r="235" spans="1:9" ht="12.75" customHeight="1" x14ac:dyDescent="0.2">
      <c r="A235" s="40">
        <v>5</v>
      </c>
      <c r="B235" s="40">
        <v>2022</v>
      </c>
      <c r="C235" s="40" t="str">
        <f t="shared" si="6"/>
        <v>Rent: 1</v>
      </c>
      <c r="D235" s="77" t="s">
        <v>435</v>
      </c>
      <c r="E235" s="40" t="s">
        <v>208</v>
      </c>
      <c r="F235" s="41">
        <v>0</v>
      </c>
      <c r="G235" s="41">
        <v>3275</v>
      </c>
      <c r="H235" s="41">
        <f t="shared" si="7"/>
        <v>3275</v>
      </c>
      <c r="I235">
        <v>3166</v>
      </c>
    </row>
    <row r="236" spans="1:9" ht="12.75" customHeight="1" x14ac:dyDescent="0.2">
      <c r="A236" s="40">
        <v>5</v>
      </c>
      <c r="B236" s="40">
        <v>2022</v>
      </c>
      <c r="C236" s="40" t="str">
        <f t="shared" si="6"/>
        <v>Income: 1</v>
      </c>
      <c r="D236" s="77" t="s">
        <v>436</v>
      </c>
      <c r="E236" s="40" t="s">
        <v>49</v>
      </c>
      <c r="F236" s="41">
        <v>1637.5</v>
      </c>
      <c r="G236" s="41">
        <v>0</v>
      </c>
      <c r="H236" s="41">
        <f t="shared" si="7"/>
        <v>1637.5</v>
      </c>
      <c r="I236">
        <v>3167</v>
      </c>
    </row>
    <row r="237" spans="1:9" ht="12.75" customHeight="1" x14ac:dyDescent="0.2">
      <c r="A237" s="40">
        <v>5</v>
      </c>
      <c r="B237" s="40">
        <v>2022</v>
      </c>
      <c r="C237" s="40" t="str">
        <f t="shared" si="6"/>
        <v>Income: 1</v>
      </c>
      <c r="D237" s="77" t="s">
        <v>436</v>
      </c>
      <c r="E237" s="40" t="s">
        <v>49</v>
      </c>
      <c r="F237" s="41">
        <v>1637.5</v>
      </c>
      <c r="G237" s="41">
        <v>0</v>
      </c>
      <c r="H237" s="41">
        <f t="shared" si="7"/>
        <v>0</v>
      </c>
      <c r="I237">
        <v>3168</v>
      </c>
    </row>
    <row r="238" spans="1:9" ht="12.75" customHeight="1" x14ac:dyDescent="0.2">
      <c r="A238" s="40">
        <v>6</v>
      </c>
      <c r="B238" s="40">
        <v>2022</v>
      </c>
      <c r="C238" s="40" t="str">
        <f t="shared" si="6"/>
        <v>Rent: 1</v>
      </c>
      <c r="D238" s="77" t="s">
        <v>437</v>
      </c>
      <c r="E238" s="40" t="s">
        <v>211</v>
      </c>
      <c r="F238" s="41">
        <v>0</v>
      </c>
      <c r="G238" s="41">
        <v>3275</v>
      </c>
      <c r="H238" s="41">
        <f t="shared" si="7"/>
        <v>3275</v>
      </c>
      <c r="I238">
        <v>3169</v>
      </c>
    </row>
    <row r="239" spans="1:9" ht="12.75" customHeight="1" x14ac:dyDescent="0.2">
      <c r="A239" s="40">
        <v>5</v>
      </c>
      <c r="B239" s="40">
        <v>2022</v>
      </c>
      <c r="C239" s="40" t="str">
        <f t="shared" si="6"/>
        <v>Income: 1</v>
      </c>
      <c r="D239" s="77" t="s">
        <v>438</v>
      </c>
      <c r="E239" s="40" t="s">
        <v>49</v>
      </c>
      <c r="F239" s="41">
        <v>1637.5</v>
      </c>
      <c r="G239" s="41">
        <v>0</v>
      </c>
      <c r="H239" s="41">
        <f t="shared" si="7"/>
        <v>1637.5</v>
      </c>
      <c r="I239">
        <v>3170</v>
      </c>
    </row>
    <row r="240" spans="1:9" ht="12.75" customHeight="1" x14ac:dyDescent="0.2">
      <c r="A240" s="40">
        <v>6</v>
      </c>
      <c r="B240" s="40">
        <v>2022</v>
      </c>
      <c r="C240" s="40" t="str">
        <f t="shared" si="6"/>
        <v>Income: 1</v>
      </c>
      <c r="D240" s="77" t="s">
        <v>437</v>
      </c>
      <c r="E240" s="40" t="s">
        <v>49</v>
      </c>
      <c r="F240" s="41">
        <v>1637.5</v>
      </c>
      <c r="G240" s="41">
        <v>0</v>
      </c>
      <c r="H240" s="41">
        <f t="shared" si="7"/>
        <v>0</v>
      </c>
      <c r="I240">
        <v>3171</v>
      </c>
    </row>
    <row r="241" spans="1:9" ht="12.75" customHeight="1" x14ac:dyDescent="0.2">
      <c r="A241" s="40">
        <v>7</v>
      </c>
      <c r="B241" s="40">
        <v>2022</v>
      </c>
      <c r="C241" s="40" t="str">
        <f t="shared" si="6"/>
        <v>Rent: 1</v>
      </c>
      <c r="D241" s="77" t="s">
        <v>439</v>
      </c>
      <c r="E241" s="40" t="s">
        <v>214</v>
      </c>
      <c r="F241" s="41">
        <v>0</v>
      </c>
      <c r="G241" s="41">
        <v>3275</v>
      </c>
      <c r="H241" s="41">
        <f t="shared" si="7"/>
        <v>3275</v>
      </c>
      <c r="I241">
        <v>3172</v>
      </c>
    </row>
    <row r="242" spans="1:9" ht="12.75" customHeight="1" x14ac:dyDescent="0.2">
      <c r="A242" s="40">
        <v>6</v>
      </c>
      <c r="B242" s="40">
        <v>2022</v>
      </c>
      <c r="C242" s="40" t="str">
        <f t="shared" si="6"/>
        <v>Income: 1</v>
      </c>
      <c r="D242" s="77" t="s">
        <v>440</v>
      </c>
      <c r="E242" s="40" t="s">
        <v>49</v>
      </c>
      <c r="F242" s="41">
        <v>1637.5</v>
      </c>
      <c r="G242" s="41">
        <v>0</v>
      </c>
      <c r="H242" s="41">
        <f t="shared" si="7"/>
        <v>1637.5</v>
      </c>
      <c r="I242">
        <v>3173</v>
      </c>
    </row>
    <row r="243" spans="1:9" ht="12.75" customHeight="1" x14ac:dyDescent="0.2">
      <c r="A243" s="40">
        <v>7</v>
      </c>
      <c r="B243" s="40">
        <v>2022</v>
      </c>
      <c r="C243" s="40" t="str">
        <f t="shared" si="6"/>
        <v>Income: 1</v>
      </c>
      <c r="D243" s="77" t="s">
        <v>439</v>
      </c>
      <c r="E243" s="40" t="s">
        <v>49</v>
      </c>
      <c r="F243" s="41">
        <v>1637.5</v>
      </c>
      <c r="G243" s="41">
        <v>0</v>
      </c>
      <c r="H243" s="41">
        <f t="shared" si="7"/>
        <v>0</v>
      </c>
      <c r="I243">
        <v>3174</v>
      </c>
    </row>
    <row r="244" spans="1:9" ht="12.75" customHeight="1" x14ac:dyDescent="0.2">
      <c r="A244" s="40">
        <v>8</v>
      </c>
      <c r="B244" s="40">
        <v>2022</v>
      </c>
      <c r="C244" s="40" t="str">
        <f t="shared" si="6"/>
        <v>Rent: 1</v>
      </c>
      <c r="D244" s="77" t="s">
        <v>441</v>
      </c>
      <c r="E244" s="40" t="s">
        <v>217</v>
      </c>
      <c r="F244" s="41">
        <v>0</v>
      </c>
      <c r="G244" s="41">
        <v>3275</v>
      </c>
      <c r="H244" s="41">
        <f t="shared" si="7"/>
        <v>3275</v>
      </c>
      <c r="I244">
        <v>3175</v>
      </c>
    </row>
    <row r="245" spans="1:9" ht="12.75" customHeight="1" x14ac:dyDescent="0.2">
      <c r="A245" s="40">
        <v>8</v>
      </c>
      <c r="B245" s="40">
        <v>2022</v>
      </c>
      <c r="C245" s="40" t="str">
        <f t="shared" si="6"/>
        <v>Income: 1</v>
      </c>
      <c r="D245" s="77" t="s">
        <v>441</v>
      </c>
      <c r="E245" s="40" t="s">
        <v>49</v>
      </c>
      <c r="F245" s="41">
        <v>1637.5</v>
      </c>
      <c r="G245" s="41">
        <v>0</v>
      </c>
      <c r="H245" s="41">
        <f t="shared" si="7"/>
        <v>1637.5</v>
      </c>
      <c r="I245">
        <v>3176</v>
      </c>
    </row>
    <row r="246" spans="1:9" ht="12.75" customHeight="1" x14ac:dyDescent="0.2">
      <c r="A246" s="40">
        <v>8</v>
      </c>
      <c r="B246" s="40">
        <v>2022</v>
      </c>
      <c r="C246" s="40" t="str">
        <f t="shared" si="6"/>
        <v>Income: 1</v>
      </c>
      <c r="D246" s="77" t="s">
        <v>441</v>
      </c>
      <c r="E246" s="40" t="s">
        <v>49</v>
      </c>
      <c r="F246" s="41">
        <v>1637.5</v>
      </c>
      <c r="G246" s="41">
        <v>0</v>
      </c>
      <c r="H246" s="41">
        <f t="shared" si="7"/>
        <v>0</v>
      </c>
      <c r="I246">
        <v>3177</v>
      </c>
    </row>
    <row r="247" spans="1:9" ht="12.75" customHeight="1" x14ac:dyDescent="0.2">
      <c r="A247" s="40">
        <v>9</v>
      </c>
      <c r="B247" s="40">
        <v>2022</v>
      </c>
      <c r="C247" s="40" t="str">
        <f t="shared" si="6"/>
        <v>Rent: 1</v>
      </c>
      <c r="D247" s="77" t="s">
        <v>442</v>
      </c>
      <c r="E247" s="40" t="s">
        <v>220</v>
      </c>
      <c r="F247" s="41">
        <v>0</v>
      </c>
      <c r="G247" s="41">
        <v>3275</v>
      </c>
      <c r="H247" s="41">
        <f t="shared" si="7"/>
        <v>3275</v>
      </c>
      <c r="I247">
        <v>3178</v>
      </c>
    </row>
    <row r="248" spans="1:9" ht="12.75" customHeight="1" x14ac:dyDescent="0.2">
      <c r="A248" s="40">
        <v>8</v>
      </c>
      <c r="B248" s="40">
        <v>2022</v>
      </c>
      <c r="C248" s="40" t="str">
        <f t="shared" si="6"/>
        <v>Income: 1</v>
      </c>
      <c r="D248" s="77" t="s">
        <v>443</v>
      </c>
      <c r="E248" s="40" t="s">
        <v>49</v>
      </c>
      <c r="F248" s="41">
        <v>1762.5</v>
      </c>
      <c r="G248" s="41">
        <v>0</v>
      </c>
      <c r="H248" s="41">
        <f t="shared" si="7"/>
        <v>1512.5</v>
      </c>
      <c r="I248">
        <v>3179</v>
      </c>
    </row>
    <row r="249" spans="1:9" ht="12.75" customHeight="1" x14ac:dyDescent="0.2">
      <c r="A249" s="40">
        <v>9</v>
      </c>
      <c r="B249" s="40">
        <v>2022</v>
      </c>
      <c r="C249" s="40" t="str">
        <f t="shared" si="6"/>
        <v>Income: 1</v>
      </c>
      <c r="D249" s="77" t="s">
        <v>444</v>
      </c>
      <c r="E249" s="40" t="s">
        <v>49</v>
      </c>
      <c r="F249" s="41">
        <v>1762.5</v>
      </c>
      <c r="G249" s="41">
        <v>0</v>
      </c>
      <c r="H249" s="41">
        <f t="shared" si="7"/>
        <v>-250</v>
      </c>
      <c r="I249">
        <v>3180</v>
      </c>
    </row>
    <row r="250" spans="1:9" ht="12.75" customHeight="1" x14ac:dyDescent="0.2">
      <c r="A250" s="40">
        <v>10</v>
      </c>
      <c r="B250" s="40">
        <v>2022</v>
      </c>
      <c r="C250" s="40" t="str">
        <f t="shared" si="6"/>
        <v>Rent: 1</v>
      </c>
      <c r="D250" s="77" t="s">
        <v>445</v>
      </c>
      <c r="E250" s="40" t="s">
        <v>223</v>
      </c>
      <c r="F250" s="41">
        <v>0</v>
      </c>
      <c r="G250" s="41">
        <v>3275</v>
      </c>
      <c r="H250" s="41">
        <f t="shared" si="7"/>
        <v>3025</v>
      </c>
      <c r="I250">
        <v>3181</v>
      </c>
    </row>
    <row r="251" spans="1:9" ht="12.75" customHeight="1" x14ac:dyDescent="0.2">
      <c r="A251" s="40">
        <v>9</v>
      </c>
      <c r="B251" s="40">
        <v>2022</v>
      </c>
      <c r="C251" s="40" t="str">
        <f t="shared" si="6"/>
        <v>Income: 1</v>
      </c>
      <c r="D251" s="77" t="s">
        <v>446</v>
      </c>
      <c r="E251" s="40" t="s">
        <v>49</v>
      </c>
      <c r="F251" s="41">
        <v>1762.5</v>
      </c>
      <c r="G251" s="41">
        <v>0</v>
      </c>
      <c r="H251" s="41">
        <f t="shared" si="7"/>
        <v>1262.5</v>
      </c>
      <c r="I251">
        <v>3182</v>
      </c>
    </row>
    <row r="252" spans="1:9" ht="12.75" customHeight="1" x14ac:dyDescent="0.2">
      <c r="A252" s="40">
        <v>10</v>
      </c>
      <c r="B252" s="40">
        <v>2022</v>
      </c>
      <c r="C252" s="40" t="str">
        <f t="shared" si="6"/>
        <v>Income: 1</v>
      </c>
      <c r="D252" s="77" t="s">
        <v>447</v>
      </c>
      <c r="E252" s="40" t="s">
        <v>49</v>
      </c>
      <c r="F252" s="41">
        <v>1762.5</v>
      </c>
      <c r="G252" s="41">
        <v>0</v>
      </c>
      <c r="H252" s="41">
        <f t="shared" si="7"/>
        <v>-500</v>
      </c>
      <c r="I252">
        <v>3183</v>
      </c>
    </row>
    <row r="253" spans="1:9" ht="12.75" customHeight="1" x14ac:dyDescent="0.2">
      <c r="A253" s="40">
        <v>11</v>
      </c>
      <c r="B253" s="40">
        <v>2022</v>
      </c>
      <c r="C253" s="40" t="str">
        <f t="shared" si="6"/>
        <v>Rent: 1</v>
      </c>
      <c r="D253" s="77" t="s">
        <v>448</v>
      </c>
      <c r="E253" s="40" t="s">
        <v>226</v>
      </c>
      <c r="F253" s="41">
        <v>0</v>
      </c>
      <c r="G253" s="41">
        <v>3275</v>
      </c>
      <c r="H253" s="41">
        <f t="shared" si="7"/>
        <v>2775</v>
      </c>
      <c r="I253">
        <v>3184</v>
      </c>
    </row>
    <row r="254" spans="1:9" ht="12.75" customHeight="1" x14ac:dyDescent="0.2">
      <c r="A254" s="40">
        <v>10</v>
      </c>
      <c r="B254" s="40">
        <v>2022</v>
      </c>
      <c r="C254" s="40" t="str">
        <f t="shared" si="6"/>
        <v>Income: 1</v>
      </c>
      <c r="D254" s="77" t="s">
        <v>449</v>
      </c>
      <c r="E254" s="40" t="s">
        <v>49</v>
      </c>
      <c r="F254" s="41">
        <v>1762.5</v>
      </c>
      <c r="G254" s="41">
        <v>0</v>
      </c>
      <c r="H254" s="41">
        <f t="shared" si="7"/>
        <v>1012.5</v>
      </c>
      <c r="I254">
        <v>3185</v>
      </c>
    </row>
    <row r="255" spans="1:9" ht="12.75" customHeight="1" x14ac:dyDescent="0.2">
      <c r="A255" s="40">
        <v>11</v>
      </c>
      <c r="B255" s="40">
        <v>2022</v>
      </c>
      <c r="C255" s="40" t="str">
        <f t="shared" si="6"/>
        <v>Income: 1</v>
      </c>
      <c r="D255" s="77" t="s">
        <v>448</v>
      </c>
      <c r="E255" s="40" t="s">
        <v>49</v>
      </c>
      <c r="F255" s="41">
        <v>1762.5</v>
      </c>
      <c r="G255" s="41">
        <v>0</v>
      </c>
      <c r="H255" s="41">
        <f t="shared" si="7"/>
        <v>-750</v>
      </c>
      <c r="I255">
        <v>3186</v>
      </c>
    </row>
    <row r="256" spans="1:9" ht="12.75" customHeight="1" x14ac:dyDescent="0.2">
      <c r="A256" s="40">
        <v>12</v>
      </c>
      <c r="B256" s="40">
        <v>2022</v>
      </c>
      <c r="C256" s="40" t="str">
        <f t="shared" si="6"/>
        <v>Rent: 1</v>
      </c>
      <c r="D256" s="77" t="s">
        <v>450</v>
      </c>
      <c r="E256" s="40" t="s">
        <v>229</v>
      </c>
      <c r="F256" s="41">
        <v>0</v>
      </c>
      <c r="G256" s="41">
        <v>3775</v>
      </c>
      <c r="H256" s="41">
        <f t="shared" si="7"/>
        <v>3025</v>
      </c>
      <c r="I256">
        <v>3187</v>
      </c>
    </row>
    <row r="257" spans="1:9" ht="12.75" customHeight="1" x14ac:dyDescent="0.2">
      <c r="A257" s="40">
        <v>10</v>
      </c>
      <c r="B257" s="40">
        <v>2022</v>
      </c>
      <c r="C257" s="40" t="str">
        <f t="shared" si="6"/>
        <v>Income: 1</v>
      </c>
      <c r="D257" s="77" t="s">
        <v>449</v>
      </c>
      <c r="E257" s="40" t="s">
        <v>49</v>
      </c>
      <c r="F257" s="41">
        <v>1887.5</v>
      </c>
      <c r="G257" s="41">
        <v>0</v>
      </c>
      <c r="H257" s="41">
        <f t="shared" si="7"/>
        <v>1137.5</v>
      </c>
      <c r="I257">
        <v>3188</v>
      </c>
    </row>
    <row r="258" spans="1:9" ht="12.75" customHeight="1" x14ac:dyDescent="0.2">
      <c r="A258" s="40">
        <v>11</v>
      </c>
      <c r="B258" s="40">
        <v>2022</v>
      </c>
      <c r="C258" s="40" t="str">
        <f t="shared" si="6"/>
        <v>Income: 1</v>
      </c>
      <c r="D258" s="77" t="s">
        <v>448</v>
      </c>
      <c r="E258" s="40" t="s">
        <v>49</v>
      </c>
      <c r="F258" s="41">
        <v>1887.5</v>
      </c>
      <c r="G258" s="41">
        <v>0</v>
      </c>
      <c r="H258" s="41">
        <f t="shared" si="7"/>
        <v>-750</v>
      </c>
      <c r="I258">
        <v>3189</v>
      </c>
    </row>
    <row r="259" spans="1:9" ht="12.75" customHeight="1" x14ac:dyDescent="0.2">
      <c r="A259" s="40">
        <v>1</v>
      </c>
      <c r="B259" s="40">
        <v>2023</v>
      </c>
      <c r="C259" s="40" t="str">
        <f t="shared" si="6"/>
        <v>Rent: 1</v>
      </c>
      <c r="D259" s="77" t="s">
        <v>451</v>
      </c>
      <c r="E259" s="40" t="s">
        <v>452</v>
      </c>
      <c r="F259" s="41">
        <v>0</v>
      </c>
      <c r="G259" s="41">
        <v>3775</v>
      </c>
      <c r="H259" s="41">
        <f t="shared" si="7"/>
        <v>3025</v>
      </c>
      <c r="I259">
        <v>3190</v>
      </c>
    </row>
    <row r="260" spans="1:9" ht="12.75" customHeight="1" x14ac:dyDescent="0.2">
      <c r="A260" s="40">
        <v>12</v>
      </c>
      <c r="B260" s="40">
        <v>2023</v>
      </c>
      <c r="C260" s="40" t="str">
        <f t="shared" si="6"/>
        <v>Income: 1</v>
      </c>
      <c r="D260" s="77" t="s">
        <v>453</v>
      </c>
      <c r="E260" s="40" t="s">
        <v>49</v>
      </c>
      <c r="F260" s="41">
        <v>1887.5</v>
      </c>
      <c r="G260" s="41">
        <v>0</v>
      </c>
      <c r="H260" s="41">
        <f t="shared" si="7"/>
        <v>1137.5</v>
      </c>
      <c r="I260">
        <v>3191</v>
      </c>
    </row>
    <row r="261" spans="1:9" ht="12.75" customHeight="1" x14ac:dyDescent="0.2">
      <c r="A261" s="40">
        <v>1</v>
      </c>
      <c r="B261" s="40">
        <v>2023</v>
      </c>
      <c r="C261" s="40" t="str">
        <f t="shared" si="6"/>
        <v>Income: 1</v>
      </c>
      <c r="D261" s="77" t="s">
        <v>454</v>
      </c>
      <c r="E261" s="40" t="s">
        <v>49</v>
      </c>
      <c r="F261" s="41">
        <v>1887.5</v>
      </c>
      <c r="G261" s="41">
        <v>0</v>
      </c>
      <c r="H261" s="41">
        <f t="shared" si="7"/>
        <v>-750</v>
      </c>
      <c r="I261">
        <v>3192</v>
      </c>
    </row>
    <row r="262" spans="1:9" ht="12.75" customHeight="1" x14ac:dyDescent="0.2"/>
    <row r="263" spans="1:9" ht="12.75" customHeight="1" x14ac:dyDescent="0.2">
      <c r="F263" s="31"/>
      <c r="G263" s="31"/>
      <c r="H263" s="31"/>
    </row>
    <row r="264" spans="1:9" ht="12.75" customHeight="1" x14ac:dyDescent="0.2">
      <c r="F264" s="31"/>
      <c r="G264" s="31"/>
      <c r="H264" s="31"/>
    </row>
    <row r="265" spans="1:9" ht="12.75" customHeight="1" x14ac:dyDescent="0.2">
      <c r="F265" s="31"/>
      <c r="G265" s="31"/>
      <c r="H265" s="31"/>
    </row>
    <row r="266" spans="1:9" ht="12.75" customHeight="1" x14ac:dyDescent="0.2">
      <c r="F266" s="31"/>
      <c r="G266" s="31"/>
      <c r="H266" s="31"/>
    </row>
    <row r="267" spans="1:9" ht="12.75" customHeight="1" x14ac:dyDescent="0.2">
      <c r="F267" s="31"/>
      <c r="G267" s="31"/>
      <c r="H267" s="31"/>
    </row>
    <row r="268" spans="1:9" ht="12.75" customHeight="1" x14ac:dyDescent="0.2">
      <c r="F268" s="31"/>
      <c r="G268" s="31"/>
      <c r="H268" s="31"/>
    </row>
    <row r="269" spans="1:9" ht="12.75" customHeight="1" x14ac:dyDescent="0.2">
      <c r="F269" s="31"/>
      <c r="G269" s="31"/>
      <c r="H269" s="31"/>
    </row>
    <row r="270" spans="1:9" ht="12.75" customHeight="1" x14ac:dyDescent="0.2">
      <c r="F270" s="31"/>
      <c r="G270" s="31"/>
      <c r="H270" s="31"/>
    </row>
    <row r="271" spans="1:9" ht="12.75" customHeight="1" x14ac:dyDescent="0.2">
      <c r="F271" s="31"/>
      <c r="G271" s="31"/>
      <c r="H271" s="31"/>
    </row>
    <row r="272" spans="1:9" ht="12.75" customHeight="1" x14ac:dyDescent="0.2">
      <c r="F272" s="31"/>
      <c r="G272" s="31"/>
      <c r="H272" s="31"/>
    </row>
    <row r="273" spans="6:8" ht="12.75" customHeight="1" x14ac:dyDescent="0.2">
      <c r="F273" s="31"/>
      <c r="G273" s="31"/>
      <c r="H273" s="31"/>
    </row>
    <row r="274" spans="6:8" ht="12.75" customHeight="1" x14ac:dyDescent="0.2">
      <c r="F274" s="31"/>
      <c r="G274" s="31"/>
      <c r="H274" s="31"/>
    </row>
    <row r="275" spans="6:8" ht="12.75" customHeight="1" x14ac:dyDescent="0.2">
      <c r="F275" s="31"/>
      <c r="G275" s="31"/>
      <c r="H275" s="31"/>
    </row>
    <row r="276" spans="6:8" ht="12.75" customHeight="1" x14ac:dyDescent="0.2">
      <c r="F276" s="31"/>
      <c r="G276" s="31"/>
      <c r="H276" s="31"/>
    </row>
    <row r="277" spans="6:8" ht="12.75" customHeight="1" x14ac:dyDescent="0.2">
      <c r="F277" s="31"/>
      <c r="G277" s="31"/>
      <c r="H277" s="31"/>
    </row>
    <row r="278" spans="6:8" ht="12.75" customHeight="1" x14ac:dyDescent="0.2">
      <c r="F278" s="31"/>
      <c r="G278" s="31"/>
      <c r="H278" s="31"/>
    </row>
    <row r="279" spans="6:8" ht="12.75" customHeight="1" x14ac:dyDescent="0.2">
      <c r="F279" s="31"/>
      <c r="G279" s="31"/>
      <c r="H279" s="31"/>
    </row>
    <row r="280" spans="6:8" ht="12.75" customHeight="1" x14ac:dyDescent="0.2">
      <c r="F280" s="31"/>
      <c r="G280" s="31"/>
      <c r="H280" s="31"/>
    </row>
    <row r="281" spans="6:8" ht="12.75" customHeight="1" x14ac:dyDescent="0.2">
      <c r="F281" s="31"/>
      <c r="G281" s="31"/>
      <c r="H281" s="31"/>
    </row>
    <row r="282" spans="6:8" ht="12.75" customHeight="1" x14ac:dyDescent="0.2">
      <c r="F282" s="31"/>
      <c r="G282" s="31"/>
      <c r="H282" s="31"/>
    </row>
    <row r="283" spans="6:8" ht="12.75" customHeight="1" x14ac:dyDescent="0.2">
      <c r="F283" s="31"/>
      <c r="G283" s="31"/>
      <c r="H283" s="31"/>
    </row>
    <row r="284" spans="6:8" ht="12.75" customHeight="1" x14ac:dyDescent="0.2">
      <c r="F284" s="31"/>
      <c r="G284" s="31"/>
      <c r="H284" s="31"/>
    </row>
    <row r="285" spans="6:8" ht="12.75" customHeight="1" x14ac:dyDescent="0.2">
      <c r="F285" s="31"/>
      <c r="G285" s="31"/>
      <c r="H285" s="31"/>
    </row>
    <row r="286" spans="6:8" ht="12.75" customHeight="1" x14ac:dyDescent="0.2">
      <c r="F286" s="31"/>
      <c r="G286" s="31"/>
      <c r="H286" s="31"/>
    </row>
    <row r="287" spans="6:8" ht="12.75" customHeight="1" x14ac:dyDescent="0.2">
      <c r="F287" s="31"/>
      <c r="G287" s="31"/>
      <c r="H287" s="31"/>
    </row>
    <row r="288" spans="6:8" ht="12.75" customHeight="1" x14ac:dyDescent="0.2">
      <c r="F288" s="31"/>
      <c r="G288" s="31"/>
      <c r="H288" s="31"/>
    </row>
    <row r="289" spans="6:8" ht="12.75" customHeight="1" x14ac:dyDescent="0.2">
      <c r="F289" s="31"/>
      <c r="G289" s="31"/>
      <c r="H289" s="31"/>
    </row>
    <row r="290" spans="6:8" ht="12.75" customHeight="1" x14ac:dyDescent="0.2">
      <c r="F290" s="31"/>
      <c r="G290" s="31"/>
      <c r="H290" s="31"/>
    </row>
    <row r="291" spans="6:8" ht="12.75" customHeight="1" x14ac:dyDescent="0.2">
      <c r="F291" s="31"/>
      <c r="G291" s="31"/>
      <c r="H291" s="31"/>
    </row>
    <row r="292" spans="6:8" ht="12.75" customHeight="1" x14ac:dyDescent="0.2">
      <c r="F292" s="31"/>
      <c r="G292" s="31"/>
      <c r="H292" s="31"/>
    </row>
    <row r="293" spans="6:8" ht="12.75" customHeight="1" x14ac:dyDescent="0.2">
      <c r="F293" s="31"/>
      <c r="G293" s="31"/>
      <c r="H293" s="31"/>
    </row>
    <row r="294" spans="6:8" ht="12.75" customHeight="1" x14ac:dyDescent="0.2">
      <c r="F294" s="31"/>
      <c r="G294" s="31"/>
      <c r="H294" s="31"/>
    </row>
    <row r="295" spans="6:8" ht="12.75" customHeight="1" x14ac:dyDescent="0.2">
      <c r="F295" s="31"/>
      <c r="G295" s="31"/>
      <c r="H295" s="31"/>
    </row>
    <row r="296" spans="6:8" ht="12.75" customHeight="1" x14ac:dyDescent="0.2">
      <c r="F296" s="31"/>
      <c r="G296" s="31"/>
      <c r="H296" s="31"/>
    </row>
    <row r="297" spans="6:8" ht="12.75" customHeight="1" x14ac:dyDescent="0.2">
      <c r="F297" s="31"/>
      <c r="G297" s="31"/>
      <c r="H297" s="31"/>
    </row>
    <row r="298" spans="6:8" ht="12.75" customHeight="1" x14ac:dyDescent="0.2">
      <c r="F298" s="31"/>
      <c r="G298" s="31"/>
      <c r="H298" s="31"/>
    </row>
    <row r="299" spans="6:8" ht="12.75" customHeight="1" x14ac:dyDescent="0.2">
      <c r="F299" s="31"/>
      <c r="G299" s="31"/>
      <c r="H299" s="31"/>
    </row>
    <row r="300" spans="6:8" ht="12.75" customHeight="1" x14ac:dyDescent="0.2">
      <c r="F300" s="31"/>
      <c r="G300" s="31"/>
      <c r="H300" s="31"/>
    </row>
    <row r="301" spans="6:8" ht="12.75" customHeight="1" x14ac:dyDescent="0.2">
      <c r="F301" s="31"/>
      <c r="G301" s="31"/>
      <c r="H301" s="31"/>
    </row>
    <row r="302" spans="6:8" ht="12.75" customHeight="1" x14ac:dyDescent="0.2">
      <c r="F302" s="31"/>
      <c r="G302" s="31"/>
      <c r="H302" s="31"/>
    </row>
    <row r="303" spans="6:8" ht="12.75" customHeight="1" x14ac:dyDescent="0.2">
      <c r="F303" s="31"/>
      <c r="G303" s="31"/>
      <c r="H303" s="31"/>
    </row>
    <row r="304" spans="6:8" ht="12.75" customHeight="1" x14ac:dyDescent="0.2">
      <c r="F304" s="31"/>
      <c r="G304" s="31"/>
      <c r="H304" s="31"/>
    </row>
    <row r="305" spans="6:8" ht="12.75" customHeight="1" x14ac:dyDescent="0.2">
      <c r="F305" s="31"/>
      <c r="G305" s="31"/>
      <c r="H305" s="31"/>
    </row>
    <row r="306" spans="6:8" ht="12.75" customHeight="1" x14ac:dyDescent="0.2">
      <c r="F306" s="31"/>
      <c r="G306" s="31"/>
      <c r="H306" s="31"/>
    </row>
    <row r="307" spans="6:8" ht="12.75" customHeight="1" x14ac:dyDescent="0.2">
      <c r="F307" s="31"/>
      <c r="G307" s="31"/>
      <c r="H307" s="31"/>
    </row>
    <row r="308" spans="6:8" ht="12.75" customHeight="1" x14ac:dyDescent="0.2">
      <c r="F308" s="31"/>
      <c r="G308" s="31"/>
      <c r="H308" s="31"/>
    </row>
    <row r="309" spans="6:8" ht="12.75" customHeight="1" x14ac:dyDescent="0.2">
      <c r="F309" s="31"/>
      <c r="G309" s="31"/>
      <c r="H309" s="31"/>
    </row>
    <row r="310" spans="6:8" ht="12.75" customHeight="1" x14ac:dyDescent="0.2">
      <c r="F310" s="31"/>
      <c r="G310" s="31"/>
      <c r="H310" s="31"/>
    </row>
    <row r="311" spans="6:8" ht="12.75" customHeight="1" x14ac:dyDescent="0.2">
      <c r="F311" s="31"/>
      <c r="G311" s="31"/>
      <c r="H311" s="31"/>
    </row>
    <row r="312" spans="6:8" ht="12.75" customHeight="1" x14ac:dyDescent="0.2">
      <c r="F312" s="31"/>
      <c r="G312" s="31"/>
      <c r="H312" s="31"/>
    </row>
    <row r="313" spans="6:8" ht="12.75" customHeight="1" x14ac:dyDescent="0.2">
      <c r="F313" s="31"/>
      <c r="G313" s="31"/>
      <c r="H313" s="31"/>
    </row>
    <row r="314" spans="6:8" ht="12.75" customHeight="1" x14ac:dyDescent="0.2">
      <c r="F314" s="31"/>
      <c r="G314" s="31"/>
      <c r="H314" s="31"/>
    </row>
    <row r="315" spans="6:8" ht="12.75" customHeight="1" x14ac:dyDescent="0.2">
      <c r="F315" s="31"/>
      <c r="G315" s="31"/>
      <c r="H315" s="31"/>
    </row>
    <row r="316" spans="6:8" ht="12.75" customHeight="1" x14ac:dyDescent="0.2">
      <c r="F316" s="31"/>
      <c r="G316" s="31"/>
      <c r="H316" s="31"/>
    </row>
    <row r="317" spans="6:8" ht="12.75" customHeight="1" x14ac:dyDescent="0.2">
      <c r="F317" s="31"/>
      <c r="G317" s="31"/>
      <c r="H317" s="31"/>
    </row>
    <row r="318" spans="6:8" ht="12.75" customHeight="1" x14ac:dyDescent="0.2">
      <c r="F318" s="31"/>
      <c r="G318" s="31"/>
      <c r="H318" s="31"/>
    </row>
    <row r="319" spans="6:8" ht="12.75" customHeight="1" x14ac:dyDescent="0.2">
      <c r="F319" s="31"/>
      <c r="G319" s="31"/>
      <c r="H319" s="31"/>
    </row>
    <row r="320" spans="6:8" ht="12.75" customHeight="1" x14ac:dyDescent="0.2">
      <c r="F320" s="31"/>
      <c r="G320" s="31"/>
      <c r="H320" s="31"/>
    </row>
    <row r="321" spans="6:8" ht="12.75" customHeight="1" x14ac:dyDescent="0.2">
      <c r="F321" s="31"/>
      <c r="G321" s="31"/>
      <c r="H321" s="31"/>
    </row>
    <row r="322" spans="6:8" ht="12.75" customHeight="1" x14ac:dyDescent="0.2">
      <c r="F322" s="31"/>
      <c r="G322" s="31"/>
      <c r="H322" s="31"/>
    </row>
    <row r="323" spans="6:8" ht="12.75" customHeight="1" x14ac:dyDescent="0.2">
      <c r="F323" s="31"/>
      <c r="G323" s="31"/>
      <c r="H323" s="31"/>
    </row>
    <row r="324" spans="6:8" ht="12.75" customHeight="1" x14ac:dyDescent="0.2">
      <c r="F324" s="31"/>
      <c r="G324" s="31"/>
      <c r="H324" s="31"/>
    </row>
    <row r="325" spans="6:8" ht="12.75" customHeight="1" x14ac:dyDescent="0.2">
      <c r="F325" s="31"/>
      <c r="G325" s="31"/>
      <c r="H325" s="31"/>
    </row>
    <row r="326" spans="6:8" ht="12.75" customHeight="1" x14ac:dyDescent="0.2">
      <c r="F326" s="31"/>
      <c r="G326" s="31"/>
      <c r="H326" s="31"/>
    </row>
    <row r="327" spans="6:8" ht="12.75" customHeight="1" x14ac:dyDescent="0.2">
      <c r="F327" s="31"/>
      <c r="G327" s="31"/>
      <c r="H327" s="31"/>
    </row>
    <row r="328" spans="6:8" ht="12.75" customHeight="1" x14ac:dyDescent="0.2">
      <c r="F328" s="31"/>
      <c r="G328" s="31"/>
      <c r="H328" s="31"/>
    </row>
    <row r="329" spans="6:8" ht="12.75" customHeight="1" x14ac:dyDescent="0.2">
      <c r="F329" s="31"/>
      <c r="G329" s="31"/>
      <c r="H329" s="31"/>
    </row>
    <row r="330" spans="6:8" ht="12.75" customHeight="1" x14ac:dyDescent="0.2">
      <c r="F330" s="31"/>
      <c r="G330" s="31"/>
      <c r="H330" s="31"/>
    </row>
    <row r="331" spans="6:8" ht="12.75" customHeight="1" x14ac:dyDescent="0.2">
      <c r="F331" s="31"/>
      <c r="G331" s="31"/>
      <c r="H331" s="31"/>
    </row>
    <row r="332" spans="6:8" ht="12.75" customHeight="1" x14ac:dyDescent="0.2">
      <c r="F332" s="31"/>
      <c r="G332" s="31"/>
      <c r="H332" s="31"/>
    </row>
    <row r="333" spans="6:8" ht="12.75" customHeight="1" x14ac:dyDescent="0.2">
      <c r="F333" s="31"/>
      <c r="G333" s="31"/>
      <c r="H333" s="31"/>
    </row>
    <row r="334" spans="6:8" ht="12.75" customHeight="1" x14ac:dyDescent="0.2">
      <c r="F334" s="31"/>
      <c r="G334" s="31"/>
      <c r="H334" s="31"/>
    </row>
    <row r="335" spans="6:8" ht="12.75" customHeight="1" x14ac:dyDescent="0.2">
      <c r="F335" s="31"/>
      <c r="G335" s="31"/>
      <c r="H335" s="31"/>
    </row>
    <row r="336" spans="6:8" ht="12.75" customHeight="1" x14ac:dyDescent="0.2">
      <c r="F336" s="31"/>
      <c r="G336" s="31"/>
      <c r="H336" s="31"/>
    </row>
    <row r="337" spans="6:8" ht="12.75" customHeight="1" x14ac:dyDescent="0.2">
      <c r="F337" s="31"/>
      <c r="G337" s="31"/>
      <c r="H337" s="31"/>
    </row>
    <row r="338" spans="6:8" ht="12.75" customHeight="1" x14ac:dyDescent="0.2">
      <c r="F338" s="31"/>
      <c r="G338" s="31"/>
      <c r="H338" s="31"/>
    </row>
    <row r="339" spans="6:8" ht="12.75" customHeight="1" x14ac:dyDescent="0.2">
      <c r="F339" s="31"/>
      <c r="G339" s="31"/>
      <c r="H339" s="31"/>
    </row>
    <row r="340" spans="6:8" ht="12.75" customHeight="1" x14ac:dyDescent="0.2">
      <c r="F340" s="31"/>
      <c r="G340" s="31"/>
      <c r="H340" s="31"/>
    </row>
    <row r="341" spans="6:8" ht="12.75" customHeight="1" x14ac:dyDescent="0.2">
      <c r="F341" s="31"/>
      <c r="G341" s="31"/>
      <c r="H341" s="31"/>
    </row>
    <row r="342" spans="6:8" ht="12.75" customHeight="1" x14ac:dyDescent="0.2">
      <c r="F342" s="31"/>
      <c r="G342" s="31"/>
      <c r="H342" s="31"/>
    </row>
    <row r="343" spans="6:8" ht="12.75" customHeight="1" x14ac:dyDescent="0.2">
      <c r="F343" s="31"/>
      <c r="G343" s="31"/>
      <c r="H343" s="31"/>
    </row>
    <row r="344" spans="6:8" ht="12.75" customHeight="1" x14ac:dyDescent="0.2">
      <c r="F344" s="31"/>
      <c r="G344" s="31"/>
      <c r="H344" s="31"/>
    </row>
    <row r="345" spans="6:8" ht="12.75" customHeight="1" x14ac:dyDescent="0.2">
      <c r="F345" s="31"/>
      <c r="G345" s="31"/>
      <c r="H345" s="31"/>
    </row>
    <row r="346" spans="6:8" ht="12.75" customHeight="1" x14ac:dyDescent="0.2">
      <c r="F346" s="31"/>
      <c r="G346" s="31"/>
      <c r="H346" s="31"/>
    </row>
    <row r="347" spans="6:8" ht="12.75" customHeight="1" x14ac:dyDescent="0.2">
      <c r="F347" s="31"/>
      <c r="G347" s="31"/>
      <c r="H347" s="31"/>
    </row>
    <row r="348" spans="6:8" ht="12.75" customHeight="1" x14ac:dyDescent="0.2">
      <c r="F348" s="31"/>
      <c r="G348" s="31"/>
      <c r="H348" s="31"/>
    </row>
    <row r="349" spans="6:8" ht="12.75" customHeight="1" x14ac:dyDescent="0.2">
      <c r="F349" s="31"/>
      <c r="G349" s="31"/>
      <c r="H349" s="31"/>
    </row>
    <row r="350" spans="6:8" ht="12.75" customHeight="1" x14ac:dyDescent="0.2">
      <c r="F350" s="31"/>
      <c r="G350" s="31"/>
      <c r="H350" s="31"/>
    </row>
    <row r="351" spans="6:8" ht="12.75" customHeight="1" x14ac:dyDescent="0.2">
      <c r="F351" s="31"/>
      <c r="G351" s="31"/>
      <c r="H351" s="31"/>
    </row>
    <row r="352" spans="6:8" ht="12.75" customHeight="1" x14ac:dyDescent="0.2">
      <c r="F352" s="31"/>
      <c r="G352" s="31"/>
      <c r="H352" s="31"/>
    </row>
    <row r="353" spans="6:8" ht="12.75" customHeight="1" x14ac:dyDescent="0.2">
      <c r="F353" s="31"/>
      <c r="G353" s="31"/>
      <c r="H353" s="31"/>
    </row>
    <row r="354" spans="6:8" ht="12.75" customHeight="1" x14ac:dyDescent="0.2">
      <c r="F354" s="31"/>
      <c r="G354" s="31"/>
      <c r="H354" s="31"/>
    </row>
    <row r="355" spans="6:8" ht="12.75" customHeight="1" x14ac:dyDescent="0.2">
      <c r="F355" s="31"/>
      <c r="G355" s="31"/>
      <c r="H355" s="31"/>
    </row>
    <row r="356" spans="6:8" ht="12.75" customHeight="1" x14ac:dyDescent="0.2">
      <c r="F356" s="31"/>
      <c r="G356" s="31"/>
      <c r="H356" s="31"/>
    </row>
    <row r="357" spans="6:8" ht="12.75" customHeight="1" x14ac:dyDescent="0.2">
      <c r="F357" s="31"/>
      <c r="G357" s="31"/>
      <c r="H357" s="31"/>
    </row>
    <row r="358" spans="6:8" ht="12.75" customHeight="1" x14ac:dyDescent="0.2">
      <c r="F358" s="31"/>
      <c r="G358" s="31"/>
      <c r="H358" s="31"/>
    </row>
    <row r="359" spans="6:8" ht="12.75" customHeight="1" x14ac:dyDescent="0.2">
      <c r="F359" s="31"/>
      <c r="G359" s="31"/>
      <c r="H359" s="31"/>
    </row>
    <row r="360" spans="6:8" ht="12.75" customHeight="1" x14ac:dyDescent="0.2">
      <c r="F360" s="31"/>
      <c r="G360" s="31"/>
      <c r="H360" s="31"/>
    </row>
    <row r="361" spans="6:8" ht="12.75" customHeight="1" x14ac:dyDescent="0.2">
      <c r="F361" s="31"/>
      <c r="G361" s="31"/>
      <c r="H361" s="31"/>
    </row>
    <row r="362" spans="6:8" ht="12.75" customHeight="1" x14ac:dyDescent="0.2">
      <c r="F362" s="31"/>
      <c r="G362" s="31"/>
      <c r="H362" s="31"/>
    </row>
    <row r="363" spans="6:8" ht="12.75" customHeight="1" x14ac:dyDescent="0.2">
      <c r="F363" s="31"/>
      <c r="G363" s="31"/>
      <c r="H363" s="31"/>
    </row>
    <row r="364" spans="6:8" ht="12.75" customHeight="1" x14ac:dyDescent="0.2">
      <c r="F364" s="31"/>
      <c r="G364" s="31"/>
      <c r="H364" s="31"/>
    </row>
    <row r="365" spans="6:8" ht="12.75" customHeight="1" x14ac:dyDescent="0.2">
      <c r="F365" s="31"/>
      <c r="G365" s="31"/>
      <c r="H365" s="31"/>
    </row>
    <row r="366" spans="6:8" ht="12.75" customHeight="1" x14ac:dyDescent="0.2">
      <c r="F366" s="31"/>
      <c r="G366" s="31"/>
      <c r="H366" s="31"/>
    </row>
    <row r="367" spans="6:8" ht="12.75" customHeight="1" x14ac:dyDescent="0.2">
      <c r="F367" s="31"/>
      <c r="G367" s="31"/>
      <c r="H367" s="31"/>
    </row>
    <row r="368" spans="6:8" ht="12.75" customHeight="1" x14ac:dyDescent="0.2">
      <c r="F368" s="31"/>
      <c r="G368" s="31"/>
      <c r="H368" s="31"/>
    </row>
    <row r="369" spans="6:8" ht="12.75" customHeight="1" x14ac:dyDescent="0.2">
      <c r="F369" s="31"/>
      <c r="G369" s="31"/>
      <c r="H369" s="31"/>
    </row>
    <row r="370" spans="6:8" ht="12.75" customHeight="1" x14ac:dyDescent="0.2">
      <c r="F370" s="31"/>
      <c r="G370" s="31"/>
      <c r="H370" s="31"/>
    </row>
    <row r="371" spans="6:8" ht="12.75" customHeight="1" x14ac:dyDescent="0.2">
      <c r="F371" s="31"/>
      <c r="G371" s="31"/>
      <c r="H371" s="31"/>
    </row>
    <row r="372" spans="6:8" ht="12.75" customHeight="1" x14ac:dyDescent="0.2">
      <c r="F372" s="31"/>
      <c r="G372" s="31"/>
      <c r="H372" s="31"/>
    </row>
    <row r="373" spans="6:8" ht="12.75" customHeight="1" x14ac:dyDescent="0.2">
      <c r="F373" s="31"/>
      <c r="G373" s="31"/>
      <c r="H373" s="31"/>
    </row>
    <row r="374" spans="6:8" ht="12.75" customHeight="1" x14ac:dyDescent="0.2">
      <c r="F374" s="31"/>
      <c r="G374" s="31"/>
      <c r="H374" s="31"/>
    </row>
    <row r="375" spans="6:8" ht="12.75" customHeight="1" x14ac:dyDescent="0.2">
      <c r="F375" s="31"/>
      <c r="G375" s="31"/>
      <c r="H375" s="31"/>
    </row>
    <row r="376" spans="6:8" ht="12.75" customHeight="1" x14ac:dyDescent="0.2">
      <c r="F376" s="31"/>
      <c r="G376" s="31"/>
      <c r="H376" s="31"/>
    </row>
    <row r="377" spans="6:8" ht="12.75" customHeight="1" x14ac:dyDescent="0.2">
      <c r="F377" s="31"/>
      <c r="G377" s="31"/>
      <c r="H377" s="31"/>
    </row>
    <row r="378" spans="6:8" ht="12.75" customHeight="1" x14ac:dyDescent="0.2">
      <c r="F378" s="31"/>
      <c r="G378" s="31"/>
      <c r="H378" s="31"/>
    </row>
    <row r="379" spans="6:8" ht="12.75" customHeight="1" x14ac:dyDescent="0.2">
      <c r="F379" s="31"/>
      <c r="G379" s="31"/>
      <c r="H379" s="31"/>
    </row>
    <row r="380" spans="6:8" ht="12.75" customHeight="1" x14ac:dyDescent="0.2">
      <c r="F380" s="31"/>
      <c r="G380" s="31"/>
      <c r="H380" s="31"/>
    </row>
    <row r="381" spans="6:8" ht="12.75" customHeight="1" x14ac:dyDescent="0.2">
      <c r="F381" s="31"/>
      <c r="G381" s="31"/>
      <c r="H381" s="31"/>
    </row>
    <row r="382" spans="6:8" ht="12.75" customHeight="1" x14ac:dyDescent="0.2">
      <c r="F382" s="31"/>
      <c r="G382" s="31"/>
      <c r="H382" s="31"/>
    </row>
    <row r="383" spans="6:8" ht="12.75" customHeight="1" x14ac:dyDescent="0.2">
      <c r="F383" s="31"/>
      <c r="G383" s="31"/>
      <c r="H383" s="31"/>
    </row>
    <row r="384" spans="6:8" ht="12.75" customHeight="1" x14ac:dyDescent="0.2">
      <c r="F384" s="31"/>
      <c r="G384" s="31"/>
      <c r="H384" s="31"/>
    </row>
    <row r="385" spans="6:8" ht="12.75" customHeight="1" x14ac:dyDescent="0.2">
      <c r="F385" s="31"/>
      <c r="G385" s="31"/>
      <c r="H385" s="31"/>
    </row>
    <row r="386" spans="6:8" ht="12.75" customHeight="1" x14ac:dyDescent="0.2">
      <c r="F386" s="31"/>
      <c r="G386" s="31"/>
      <c r="H386" s="31"/>
    </row>
    <row r="387" spans="6:8" ht="12.75" customHeight="1" x14ac:dyDescent="0.2">
      <c r="F387" s="31"/>
      <c r="G387" s="31"/>
      <c r="H387" s="31"/>
    </row>
    <row r="388" spans="6:8" ht="12.75" customHeight="1" x14ac:dyDescent="0.2">
      <c r="F388" s="31"/>
      <c r="G388" s="31"/>
      <c r="H388" s="31"/>
    </row>
    <row r="389" spans="6:8" ht="12.75" customHeight="1" x14ac:dyDescent="0.2">
      <c r="F389" s="31"/>
      <c r="G389" s="31"/>
      <c r="H389" s="31"/>
    </row>
    <row r="390" spans="6:8" ht="12.75" customHeight="1" x14ac:dyDescent="0.2">
      <c r="F390" s="31"/>
      <c r="G390" s="31"/>
      <c r="H390" s="31"/>
    </row>
    <row r="391" spans="6:8" ht="12.75" customHeight="1" x14ac:dyDescent="0.2">
      <c r="F391" s="31"/>
      <c r="G391" s="31"/>
      <c r="H391" s="31"/>
    </row>
    <row r="392" spans="6:8" ht="12.75" customHeight="1" x14ac:dyDescent="0.2">
      <c r="F392" s="31"/>
      <c r="G392" s="31"/>
      <c r="H392" s="31"/>
    </row>
    <row r="393" spans="6:8" ht="12.75" customHeight="1" x14ac:dyDescent="0.2">
      <c r="F393" s="31"/>
      <c r="G393" s="31"/>
      <c r="H393" s="31"/>
    </row>
    <row r="394" spans="6:8" ht="12.75" customHeight="1" x14ac:dyDescent="0.2">
      <c r="F394" s="31"/>
      <c r="G394" s="31"/>
      <c r="H394" s="31"/>
    </row>
    <row r="395" spans="6:8" ht="12.75" customHeight="1" x14ac:dyDescent="0.2">
      <c r="F395" s="31"/>
      <c r="G395" s="31"/>
      <c r="H395" s="31"/>
    </row>
    <row r="396" spans="6:8" ht="12.75" customHeight="1" x14ac:dyDescent="0.2">
      <c r="F396" s="31"/>
      <c r="G396" s="31"/>
      <c r="H396" s="31"/>
    </row>
    <row r="397" spans="6:8" ht="12.75" customHeight="1" x14ac:dyDescent="0.2">
      <c r="F397" s="31"/>
      <c r="G397" s="31"/>
      <c r="H397" s="31"/>
    </row>
    <row r="398" spans="6:8" ht="12.75" customHeight="1" x14ac:dyDescent="0.2">
      <c r="F398" s="31"/>
      <c r="G398" s="31"/>
      <c r="H398" s="31"/>
    </row>
    <row r="399" spans="6:8" ht="12.75" customHeight="1" x14ac:dyDescent="0.2">
      <c r="F399" s="31"/>
      <c r="G399" s="31"/>
      <c r="H399" s="31"/>
    </row>
    <row r="400" spans="6:8" ht="12.75" customHeight="1" x14ac:dyDescent="0.2">
      <c r="F400" s="31"/>
      <c r="G400" s="31"/>
      <c r="H400" s="31"/>
    </row>
    <row r="401" spans="6:8" ht="12.75" customHeight="1" x14ac:dyDescent="0.2">
      <c r="F401" s="31"/>
      <c r="G401" s="31"/>
      <c r="H401" s="31"/>
    </row>
    <row r="402" spans="6:8" ht="12.75" customHeight="1" x14ac:dyDescent="0.2">
      <c r="F402" s="31"/>
      <c r="G402" s="31"/>
      <c r="H402" s="31"/>
    </row>
    <row r="403" spans="6:8" ht="12.75" customHeight="1" x14ac:dyDescent="0.2">
      <c r="F403" s="31"/>
      <c r="G403" s="31"/>
      <c r="H403" s="31"/>
    </row>
    <row r="404" spans="6:8" ht="12.75" customHeight="1" x14ac:dyDescent="0.2">
      <c r="F404" s="31"/>
      <c r="G404" s="31"/>
      <c r="H404" s="31"/>
    </row>
    <row r="405" spans="6:8" ht="12.75" customHeight="1" x14ac:dyDescent="0.2">
      <c r="F405" s="31"/>
      <c r="G405" s="31"/>
      <c r="H405" s="31"/>
    </row>
    <row r="406" spans="6:8" ht="12.75" customHeight="1" x14ac:dyDescent="0.2">
      <c r="F406" s="31"/>
      <c r="G406" s="31"/>
      <c r="H406" s="31"/>
    </row>
    <row r="407" spans="6:8" ht="12.75" customHeight="1" x14ac:dyDescent="0.2">
      <c r="F407" s="31"/>
      <c r="G407" s="31"/>
      <c r="H407" s="31"/>
    </row>
    <row r="408" spans="6:8" ht="12.75" customHeight="1" x14ac:dyDescent="0.2">
      <c r="F408" s="31"/>
      <c r="G408" s="31"/>
      <c r="H408" s="31"/>
    </row>
    <row r="409" spans="6:8" ht="12.75" customHeight="1" x14ac:dyDescent="0.2">
      <c r="F409" s="31"/>
      <c r="G409" s="31"/>
      <c r="H409" s="31"/>
    </row>
    <row r="410" spans="6:8" ht="12.75" customHeight="1" x14ac:dyDescent="0.2">
      <c r="F410" s="31"/>
      <c r="G410" s="31"/>
      <c r="H410" s="31"/>
    </row>
    <row r="411" spans="6:8" ht="12.75" customHeight="1" x14ac:dyDescent="0.2">
      <c r="F411" s="31"/>
      <c r="G411" s="31"/>
      <c r="H411" s="31"/>
    </row>
    <row r="412" spans="6:8" ht="12.75" customHeight="1" x14ac:dyDescent="0.2">
      <c r="F412" s="31"/>
      <c r="G412" s="31"/>
      <c r="H412" s="31"/>
    </row>
    <row r="413" spans="6:8" ht="12.75" customHeight="1" x14ac:dyDescent="0.2">
      <c r="F413" s="31"/>
      <c r="G413" s="31"/>
      <c r="H413" s="31"/>
    </row>
    <row r="414" spans="6:8" ht="12.75" customHeight="1" x14ac:dyDescent="0.2">
      <c r="F414" s="31"/>
      <c r="G414" s="31"/>
      <c r="H414" s="31"/>
    </row>
    <row r="415" spans="6:8" ht="12.75" customHeight="1" x14ac:dyDescent="0.2">
      <c r="F415" s="31"/>
      <c r="G415" s="31"/>
      <c r="H415" s="31"/>
    </row>
    <row r="416" spans="6:8" ht="12.75" customHeight="1" x14ac:dyDescent="0.2">
      <c r="F416" s="31"/>
      <c r="G416" s="31"/>
      <c r="H416" s="31"/>
    </row>
    <row r="417" spans="6:8" ht="12.75" customHeight="1" x14ac:dyDescent="0.2">
      <c r="F417" s="31"/>
      <c r="G417" s="31"/>
      <c r="H417" s="31"/>
    </row>
    <row r="418" spans="6:8" ht="12.75" customHeight="1" x14ac:dyDescent="0.2">
      <c r="F418" s="31"/>
      <c r="G418" s="31"/>
      <c r="H418" s="31"/>
    </row>
    <row r="419" spans="6:8" ht="12.75" customHeight="1" x14ac:dyDescent="0.2">
      <c r="F419" s="31"/>
      <c r="G419" s="31"/>
      <c r="H419" s="31"/>
    </row>
    <row r="420" spans="6:8" ht="12.75" customHeight="1" x14ac:dyDescent="0.2">
      <c r="F420" s="31"/>
      <c r="G420" s="31"/>
      <c r="H420" s="31"/>
    </row>
    <row r="421" spans="6:8" ht="12.75" customHeight="1" x14ac:dyDescent="0.2">
      <c r="F421" s="31"/>
      <c r="G421" s="31"/>
      <c r="H421" s="31"/>
    </row>
    <row r="422" spans="6:8" ht="12.75" customHeight="1" x14ac:dyDescent="0.2">
      <c r="F422" s="31"/>
      <c r="G422" s="31"/>
      <c r="H422" s="31"/>
    </row>
    <row r="423" spans="6:8" ht="12.75" customHeight="1" x14ac:dyDescent="0.2">
      <c r="F423" s="31"/>
      <c r="G423" s="31"/>
      <c r="H423" s="31"/>
    </row>
    <row r="424" spans="6:8" ht="12.75" customHeight="1" x14ac:dyDescent="0.2">
      <c r="F424" s="31"/>
      <c r="G424" s="31"/>
      <c r="H424" s="31"/>
    </row>
    <row r="425" spans="6:8" ht="12.75" customHeight="1" x14ac:dyDescent="0.2">
      <c r="F425" s="31"/>
      <c r="G425" s="31"/>
      <c r="H425" s="31"/>
    </row>
    <row r="426" spans="6:8" ht="12.75" customHeight="1" x14ac:dyDescent="0.2">
      <c r="F426" s="31"/>
      <c r="G426" s="31"/>
      <c r="H426" s="31"/>
    </row>
    <row r="427" spans="6:8" ht="12.75" customHeight="1" x14ac:dyDescent="0.2">
      <c r="F427" s="31"/>
      <c r="G427" s="31"/>
      <c r="H427" s="31"/>
    </row>
    <row r="428" spans="6:8" ht="12.75" customHeight="1" x14ac:dyDescent="0.2">
      <c r="F428" s="31"/>
      <c r="G428" s="31"/>
      <c r="H428" s="31"/>
    </row>
    <row r="429" spans="6:8" ht="12.75" customHeight="1" x14ac:dyDescent="0.2">
      <c r="F429" s="31"/>
      <c r="G429" s="31"/>
      <c r="H429" s="31"/>
    </row>
    <row r="430" spans="6:8" ht="12.75" customHeight="1" x14ac:dyDescent="0.2">
      <c r="F430" s="31"/>
      <c r="G430" s="31"/>
      <c r="H430" s="31"/>
    </row>
    <row r="431" spans="6:8" ht="12.75" customHeight="1" x14ac:dyDescent="0.2">
      <c r="F431" s="31"/>
      <c r="G431" s="31"/>
      <c r="H431" s="31"/>
    </row>
    <row r="432" spans="6:8" ht="12.75" customHeight="1" x14ac:dyDescent="0.2">
      <c r="F432" s="31"/>
      <c r="G432" s="31"/>
      <c r="H432" s="31"/>
    </row>
    <row r="433" spans="6:8" ht="12.75" customHeight="1" x14ac:dyDescent="0.2">
      <c r="F433" s="31"/>
      <c r="G433" s="31"/>
      <c r="H433" s="31"/>
    </row>
    <row r="434" spans="6:8" ht="12.75" customHeight="1" x14ac:dyDescent="0.2">
      <c r="F434" s="31"/>
      <c r="G434" s="31"/>
      <c r="H434" s="31"/>
    </row>
    <row r="435" spans="6:8" ht="12.75" customHeight="1" x14ac:dyDescent="0.2">
      <c r="F435" s="31"/>
      <c r="G435" s="31"/>
      <c r="H435" s="31"/>
    </row>
    <row r="436" spans="6:8" ht="12.75" customHeight="1" x14ac:dyDescent="0.2">
      <c r="F436" s="31"/>
      <c r="G436" s="31"/>
      <c r="H436" s="31"/>
    </row>
    <row r="437" spans="6:8" ht="12.75" customHeight="1" x14ac:dyDescent="0.2">
      <c r="F437" s="31"/>
      <c r="G437" s="31"/>
      <c r="H437" s="31"/>
    </row>
    <row r="438" spans="6:8" ht="12.75" customHeight="1" x14ac:dyDescent="0.2">
      <c r="F438" s="31"/>
      <c r="G438" s="31"/>
      <c r="H438" s="31"/>
    </row>
    <row r="439" spans="6:8" ht="12.75" customHeight="1" x14ac:dyDescent="0.2">
      <c r="F439" s="31"/>
      <c r="G439" s="31"/>
      <c r="H439" s="31"/>
    </row>
    <row r="440" spans="6:8" ht="12.75" customHeight="1" x14ac:dyDescent="0.2">
      <c r="F440" s="31"/>
      <c r="G440" s="31"/>
      <c r="H440" s="31"/>
    </row>
    <row r="441" spans="6:8" ht="12.75" customHeight="1" x14ac:dyDescent="0.2">
      <c r="F441" s="31"/>
      <c r="G441" s="31"/>
      <c r="H441" s="31"/>
    </row>
    <row r="442" spans="6:8" ht="12.75" customHeight="1" x14ac:dyDescent="0.2">
      <c r="F442" s="31"/>
      <c r="G442" s="31"/>
      <c r="H442" s="31"/>
    </row>
    <row r="443" spans="6:8" ht="12.75" customHeight="1" x14ac:dyDescent="0.2">
      <c r="F443" s="31"/>
      <c r="G443" s="31"/>
      <c r="H443" s="31"/>
    </row>
    <row r="444" spans="6:8" ht="12.75" customHeight="1" x14ac:dyDescent="0.2">
      <c r="F444" s="31"/>
      <c r="G444" s="31"/>
      <c r="H444" s="31"/>
    </row>
    <row r="445" spans="6:8" ht="12.75" customHeight="1" x14ac:dyDescent="0.2">
      <c r="F445" s="31"/>
      <c r="G445" s="31"/>
      <c r="H445" s="31"/>
    </row>
    <row r="446" spans="6:8" ht="12.75" customHeight="1" x14ac:dyDescent="0.2">
      <c r="F446" s="31"/>
      <c r="G446" s="31"/>
      <c r="H446" s="31"/>
    </row>
    <row r="447" spans="6:8" ht="12.75" customHeight="1" x14ac:dyDescent="0.2">
      <c r="F447" s="31"/>
      <c r="G447" s="31"/>
      <c r="H447" s="31"/>
    </row>
    <row r="448" spans="6:8" ht="12.75" customHeight="1" x14ac:dyDescent="0.2">
      <c r="F448" s="31"/>
      <c r="G448" s="31"/>
      <c r="H448" s="31"/>
    </row>
    <row r="449" spans="6:8" ht="12.75" customHeight="1" x14ac:dyDescent="0.2">
      <c r="F449" s="31"/>
      <c r="G449" s="31"/>
      <c r="H449" s="31"/>
    </row>
    <row r="450" spans="6:8" ht="12.75" customHeight="1" x14ac:dyDescent="0.2">
      <c r="F450" s="31"/>
      <c r="G450" s="31"/>
      <c r="H450" s="31"/>
    </row>
    <row r="451" spans="6:8" ht="12.75" customHeight="1" x14ac:dyDescent="0.2">
      <c r="F451" s="31"/>
      <c r="G451" s="31"/>
      <c r="H451" s="31"/>
    </row>
    <row r="452" spans="6:8" ht="12.75" customHeight="1" x14ac:dyDescent="0.2">
      <c r="F452" s="31"/>
      <c r="G452" s="31"/>
      <c r="H452" s="31"/>
    </row>
    <row r="453" spans="6:8" ht="12.75" customHeight="1" x14ac:dyDescent="0.2">
      <c r="F453" s="31"/>
      <c r="G453" s="31"/>
      <c r="H453" s="31"/>
    </row>
    <row r="454" spans="6:8" ht="12.75" customHeight="1" x14ac:dyDescent="0.2">
      <c r="F454" s="31"/>
      <c r="G454" s="31"/>
      <c r="H454" s="31"/>
    </row>
    <row r="455" spans="6:8" ht="12.75" customHeight="1" x14ac:dyDescent="0.2">
      <c r="F455" s="31"/>
      <c r="G455" s="31"/>
      <c r="H455" s="31"/>
    </row>
    <row r="456" spans="6:8" ht="12.75" customHeight="1" x14ac:dyDescent="0.2">
      <c r="F456" s="31"/>
      <c r="G456" s="31"/>
      <c r="H456" s="31"/>
    </row>
    <row r="457" spans="6:8" ht="12.75" customHeight="1" x14ac:dyDescent="0.2">
      <c r="F457" s="31"/>
      <c r="G457" s="31"/>
      <c r="H457" s="31"/>
    </row>
    <row r="458" spans="6:8" ht="12.75" customHeight="1" x14ac:dyDescent="0.2">
      <c r="F458" s="31"/>
      <c r="G458" s="31"/>
      <c r="H458" s="31"/>
    </row>
    <row r="459" spans="6:8" ht="12.75" customHeight="1" x14ac:dyDescent="0.2">
      <c r="F459" s="31"/>
      <c r="G459" s="31"/>
      <c r="H459" s="31"/>
    </row>
    <row r="460" spans="6:8" ht="12.75" customHeight="1" x14ac:dyDescent="0.2">
      <c r="F460" s="31"/>
      <c r="G460" s="31"/>
      <c r="H460" s="31"/>
    </row>
    <row r="461" spans="6:8" ht="12.75" customHeight="1" x14ac:dyDescent="0.2">
      <c r="F461" s="31"/>
      <c r="G461" s="31"/>
      <c r="H461" s="31"/>
    </row>
    <row r="462" spans="6:8" ht="12.75" customHeight="1" x14ac:dyDescent="0.2">
      <c r="F462" s="31"/>
      <c r="G462" s="31"/>
      <c r="H462" s="31"/>
    </row>
    <row r="463" spans="6:8" ht="12.75" customHeight="1" x14ac:dyDescent="0.2">
      <c r="F463" s="31"/>
      <c r="G463" s="31"/>
      <c r="H463" s="31"/>
    </row>
    <row r="464" spans="6:8" ht="12.75" customHeight="1" x14ac:dyDescent="0.2">
      <c r="F464" s="31"/>
      <c r="G464" s="31"/>
      <c r="H464" s="31"/>
    </row>
    <row r="465" spans="6:8" ht="12.75" customHeight="1" x14ac:dyDescent="0.2">
      <c r="F465" s="31"/>
      <c r="G465" s="31"/>
      <c r="H465" s="31"/>
    </row>
    <row r="466" spans="6:8" ht="12.75" customHeight="1" x14ac:dyDescent="0.2">
      <c r="F466" s="31"/>
      <c r="G466" s="31"/>
      <c r="H466" s="31"/>
    </row>
    <row r="467" spans="6:8" ht="12.75" customHeight="1" x14ac:dyDescent="0.2">
      <c r="F467" s="31"/>
      <c r="G467" s="31"/>
      <c r="H467" s="31"/>
    </row>
    <row r="468" spans="6:8" ht="12.75" customHeight="1" x14ac:dyDescent="0.2">
      <c r="F468" s="31"/>
      <c r="G468" s="31"/>
      <c r="H468" s="31"/>
    </row>
    <row r="469" spans="6:8" ht="12.75" customHeight="1" x14ac:dyDescent="0.2">
      <c r="F469" s="31"/>
      <c r="G469" s="31"/>
      <c r="H469" s="31"/>
    </row>
    <row r="470" spans="6:8" ht="12.75" customHeight="1" x14ac:dyDescent="0.2">
      <c r="F470" s="31"/>
      <c r="G470" s="31"/>
      <c r="H470" s="31"/>
    </row>
    <row r="471" spans="6:8" ht="12.75" customHeight="1" x14ac:dyDescent="0.2">
      <c r="F471" s="31"/>
      <c r="G471" s="31"/>
      <c r="H471" s="31"/>
    </row>
    <row r="472" spans="6:8" ht="12.75" customHeight="1" x14ac:dyDescent="0.2">
      <c r="F472" s="31"/>
      <c r="G472" s="31"/>
      <c r="H472" s="31"/>
    </row>
    <row r="473" spans="6:8" ht="12.75" customHeight="1" x14ac:dyDescent="0.2">
      <c r="F473" s="31"/>
      <c r="G473" s="31"/>
      <c r="H473" s="31"/>
    </row>
    <row r="474" spans="6:8" ht="12.75" customHeight="1" x14ac:dyDescent="0.2">
      <c r="F474" s="31"/>
      <c r="G474" s="31"/>
      <c r="H474" s="31"/>
    </row>
    <row r="475" spans="6:8" ht="12.75" customHeight="1" x14ac:dyDescent="0.2">
      <c r="F475" s="31"/>
      <c r="G475" s="31"/>
      <c r="H475" s="31"/>
    </row>
    <row r="476" spans="6:8" ht="12.75" customHeight="1" x14ac:dyDescent="0.2">
      <c r="F476" s="31"/>
      <c r="G476" s="31"/>
      <c r="H476" s="31"/>
    </row>
    <row r="477" spans="6:8" ht="12.75" customHeight="1" x14ac:dyDescent="0.2">
      <c r="F477" s="31"/>
      <c r="G477" s="31"/>
      <c r="H477" s="31"/>
    </row>
    <row r="478" spans="6:8" ht="12.75" customHeight="1" x14ac:dyDescent="0.2">
      <c r="F478" s="31"/>
      <c r="G478" s="31"/>
      <c r="H478" s="31"/>
    </row>
    <row r="479" spans="6:8" ht="12.75" customHeight="1" x14ac:dyDescent="0.2">
      <c r="F479" s="31"/>
      <c r="G479" s="31"/>
      <c r="H479" s="31"/>
    </row>
    <row r="480" spans="6:8" ht="12.75" customHeight="1" x14ac:dyDescent="0.2">
      <c r="F480" s="31"/>
      <c r="G480" s="31"/>
      <c r="H480" s="31"/>
    </row>
    <row r="481" spans="6:8" ht="12.75" customHeight="1" x14ac:dyDescent="0.2">
      <c r="F481" s="31"/>
      <c r="G481" s="31"/>
      <c r="H481" s="31"/>
    </row>
    <row r="482" spans="6:8" ht="12.75" customHeight="1" x14ac:dyDescent="0.2">
      <c r="F482" s="31"/>
      <c r="G482" s="31"/>
      <c r="H482" s="31"/>
    </row>
    <row r="483" spans="6:8" ht="12.75" customHeight="1" x14ac:dyDescent="0.2">
      <c r="F483" s="31"/>
      <c r="G483" s="31"/>
      <c r="H483" s="31"/>
    </row>
    <row r="484" spans="6:8" ht="12.75" customHeight="1" x14ac:dyDescent="0.2">
      <c r="F484" s="31"/>
      <c r="G484" s="31"/>
      <c r="H484" s="31"/>
    </row>
    <row r="485" spans="6:8" ht="12.75" customHeight="1" x14ac:dyDescent="0.2">
      <c r="F485" s="31"/>
      <c r="G485" s="31"/>
      <c r="H485" s="31"/>
    </row>
    <row r="486" spans="6:8" ht="12.75" customHeight="1" x14ac:dyDescent="0.2">
      <c r="F486" s="31"/>
      <c r="G486" s="31"/>
      <c r="H486" s="31"/>
    </row>
    <row r="487" spans="6:8" ht="12.75" customHeight="1" x14ac:dyDescent="0.2">
      <c r="F487" s="31"/>
      <c r="G487" s="31"/>
      <c r="H487" s="31"/>
    </row>
    <row r="488" spans="6:8" ht="12.75" customHeight="1" x14ac:dyDescent="0.2">
      <c r="F488" s="31"/>
      <c r="G488" s="31"/>
      <c r="H488" s="31"/>
    </row>
    <row r="489" spans="6:8" ht="12.75" customHeight="1" x14ac:dyDescent="0.2">
      <c r="F489" s="31"/>
      <c r="G489" s="31"/>
      <c r="H489" s="31"/>
    </row>
    <row r="490" spans="6:8" ht="12.75" customHeight="1" x14ac:dyDescent="0.2">
      <c r="F490" s="31"/>
      <c r="G490" s="31"/>
      <c r="H490" s="31"/>
    </row>
    <row r="491" spans="6:8" ht="12.75" customHeight="1" x14ac:dyDescent="0.2">
      <c r="F491" s="31"/>
      <c r="G491" s="31"/>
      <c r="H491" s="31"/>
    </row>
    <row r="492" spans="6:8" ht="12.75" customHeight="1" x14ac:dyDescent="0.2">
      <c r="F492" s="31"/>
      <c r="G492" s="31"/>
      <c r="H492" s="31"/>
    </row>
    <row r="493" spans="6:8" ht="12.75" customHeight="1" x14ac:dyDescent="0.2">
      <c r="F493" s="31"/>
      <c r="G493" s="31"/>
      <c r="H493" s="31"/>
    </row>
    <row r="494" spans="6:8" ht="12.75" customHeight="1" x14ac:dyDescent="0.2">
      <c r="F494" s="31"/>
      <c r="G494" s="31"/>
      <c r="H494" s="31"/>
    </row>
    <row r="495" spans="6:8" ht="12.75" customHeight="1" x14ac:dyDescent="0.2">
      <c r="F495" s="31"/>
      <c r="G495" s="31"/>
      <c r="H495" s="31"/>
    </row>
    <row r="496" spans="6:8" ht="12.75" customHeight="1" x14ac:dyDescent="0.2">
      <c r="F496" s="31"/>
      <c r="G496" s="31"/>
      <c r="H496" s="31"/>
    </row>
    <row r="497" spans="6:8" ht="12.75" customHeight="1" x14ac:dyDescent="0.2">
      <c r="F497" s="31"/>
      <c r="G497" s="31"/>
      <c r="H497" s="31"/>
    </row>
    <row r="498" spans="6:8" ht="12.75" customHeight="1" x14ac:dyDescent="0.2">
      <c r="F498" s="31"/>
      <c r="G498" s="31"/>
      <c r="H498" s="31"/>
    </row>
    <row r="499" spans="6:8" ht="12.75" customHeight="1" x14ac:dyDescent="0.2">
      <c r="F499" s="31"/>
      <c r="G499" s="31"/>
      <c r="H499" s="31"/>
    </row>
    <row r="500" spans="6:8" ht="12.75" customHeight="1" x14ac:dyDescent="0.2">
      <c r="F500" s="31"/>
      <c r="G500" s="31"/>
      <c r="H500" s="31"/>
    </row>
    <row r="501" spans="6:8" ht="12.75" customHeight="1" x14ac:dyDescent="0.2">
      <c r="F501" s="31"/>
      <c r="G501" s="31"/>
      <c r="H501" s="31"/>
    </row>
    <row r="502" spans="6:8" ht="12.75" customHeight="1" x14ac:dyDescent="0.2">
      <c r="F502" s="31"/>
      <c r="G502" s="31"/>
      <c r="H502" s="31"/>
    </row>
    <row r="503" spans="6:8" ht="12.75" customHeight="1" x14ac:dyDescent="0.2">
      <c r="F503" s="31"/>
      <c r="G503" s="31"/>
      <c r="H503" s="31"/>
    </row>
    <row r="504" spans="6:8" ht="12.75" customHeight="1" x14ac:dyDescent="0.2">
      <c r="F504" s="31"/>
      <c r="G504" s="31"/>
      <c r="H504" s="31"/>
    </row>
    <row r="505" spans="6:8" ht="12.75" customHeight="1" x14ac:dyDescent="0.2">
      <c r="F505" s="31"/>
      <c r="G505" s="31"/>
      <c r="H505" s="31"/>
    </row>
    <row r="506" spans="6:8" ht="12.75" customHeight="1" x14ac:dyDescent="0.2">
      <c r="F506" s="31"/>
      <c r="G506" s="31"/>
      <c r="H506" s="31"/>
    </row>
    <row r="507" spans="6:8" ht="12.75" customHeight="1" x14ac:dyDescent="0.2">
      <c r="F507" s="31"/>
      <c r="G507" s="31"/>
      <c r="H507" s="31"/>
    </row>
    <row r="508" spans="6:8" ht="12.75" customHeight="1" x14ac:dyDescent="0.2">
      <c r="F508" s="31"/>
      <c r="G508" s="31"/>
      <c r="H508" s="31"/>
    </row>
    <row r="509" spans="6:8" ht="12.75" customHeight="1" x14ac:dyDescent="0.2">
      <c r="F509" s="31"/>
      <c r="G509" s="31"/>
      <c r="H509" s="31"/>
    </row>
    <row r="510" spans="6:8" ht="12.75" customHeight="1" x14ac:dyDescent="0.2">
      <c r="F510" s="31"/>
      <c r="G510" s="31"/>
      <c r="H510" s="31"/>
    </row>
    <row r="511" spans="6:8" ht="12.75" customHeight="1" x14ac:dyDescent="0.2">
      <c r="F511" s="31"/>
      <c r="G511" s="31"/>
      <c r="H511" s="31"/>
    </row>
    <row r="512" spans="6:8" ht="12.75" customHeight="1" x14ac:dyDescent="0.2">
      <c r="F512" s="31"/>
      <c r="G512" s="31"/>
      <c r="H512" s="31"/>
    </row>
    <row r="513" spans="6:8" ht="12.75" customHeight="1" x14ac:dyDescent="0.2">
      <c r="F513" s="31"/>
      <c r="G513" s="31"/>
      <c r="H513" s="31"/>
    </row>
    <row r="514" spans="6:8" ht="12.75" customHeight="1" x14ac:dyDescent="0.2">
      <c r="F514" s="31"/>
      <c r="G514" s="31"/>
      <c r="H514" s="31"/>
    </row>
    <row r="515" spans="6:8" ht="12.75" customHeight="1" x14ac:dyDescent="0.2">
      <c r="F515" s="31"/>
      <c r="G515" s="31"/>
      <c r="H515" s="31"/>
    </row>
    <row r="516" spans="6:8" ht="12.75" customHeight="1" x14ac:dyDescent="0.2">
      <c r="F516" s="31"/>
      <c r="G516" s="31"/>
      <c r="H516" s="31"/>
    </row>
    <row r="517" spans="6:8" ht="12.75" customHeight="1" x14ac:dyDescent="0.2">
      <c r="F517" s="31"/>
      <c r="G517" s="31"/>
      <c r="H517" s="31"/>
    </row>
    <row r="518" spans="6:8" ht="12.75" customHeight="1" x14ac:dyDescent="0.2">
      <c r="F518" s="31"/>
      <c r="G518" s="31"/>
      <c r="H518" s="31"/>
    </row>
    <row r="519" spans="6:8" ht="12.75" customHeight="1" x14ac:dyDescent="0.2">
      <c r="F519" s="31"/>
      <c r="G519" s="31"/>
      <c r="H519" s="31"/>
    </row>
    <row r="520" spans="6:8" ht="12.75" customHeight="1" x14ac:dyDescent="0.2">
      <c r="F520" s="31"/>
      <c r="G520" s="31"/>
      <c r="H520" s="31"/>
    </row>
    <row r="521" spans="6:8" ht="12.75" customHeight="1" x14ac:dyDescent="0.2">
      <c r="F521" s="31"/>
      <c r="G521" s="31"/>
      <c r="H521" s="31"/>
    </row>
    <row r="522" spans="6:8" ht="12.75" customHeight="1" x14ac:dyDescent="0.2">
      <c r="F522" s="31"/>
      <c r="G522" s="31"/>
      <c r="H522" s="31"/>
    </row>
    <row r="523" spans="6:8" ht="12.75" customHeight="1" x14ac:dyDescent="0.2">
      <c r="F523" s="31"/>
      <c r="G523" s="31"/>
      <c r="H523" s="31"/>
    </row>
    <row r="524" spans="6:8" ht="12.75" customHeight="1" x14ac:dyDescent="0.2">
      <c r="F524" s="31"/>
      <c r="G524" s="31"/>
      <c r="H524" s="31"/>
    </row>
    <row r="525" spans="6:8" ht="12.75" customHeight="1" x14ac:dyDescent="0.2">
      <c r="F525" s="31"/>
      <c r="G525" s="31"/>
      <c r="H525" s="31"/>
    </row>
    <row r="526" spans="6:8" ht="12.75" customHeight="1" x14ac:dyDescent="0.2">
      <c r="F526" s="31"/>
      <c r="G526" s="31"/>
      <c r="H526" s="31"/>
    </row>
    <row r="527" spans="6:8" ht="12.75" customHeight="1" x14ac:dyDescent="0.2">
      <c r="F527" s="31"/>
      <c r="G527" s="31"/>
      <c r="H527" s="31"/>
    </row>
    <row r="528" spans="6:8" ht="12.75" customHeight="1" x14ac:dyDescent="0.2">
      <c r="F528" s="31"/>
      <c r="G528" s="31"/>
      <c r="H528" s="31"/>
    </row>
    <row r="529" spans="6:8" ht="12.75" customHeight="1" x14ac:dyDescent="0.2">
      <c r="F529" s="31"/>
      <c r="G529" s="31"/>
      <c r="H529" s="31"/>
    </row>
    <row r="530" spans="6:8" ht="12.75" customHeight="1" x14ac:dyDescent="0.2">
      <c r="F530" s="31"/>
      <c r="G530" s="31"/>
      <c r="H530" s="31"/>
    </row>
    <row r="531" spans="6:8" ht="12.75" customHeight="1" x14ac:dyDescent="0.2">
      <c r="F531" s="31"/>
      <c r="G531" s="31"/>
      <c r="H531" s="31"/>
    </row>
    <row r="532" spans="6:8" ht="12.75" customHeight="1" x14ac:dyDescent="0.2">
      <c r="F532" s="31"/>
      <c r="G532" s="31"/>
      <c r="H532" s="31"/>
    </row>
    <row r="533" spans="6:8" ht="12.75" customHeight="1" x14ac:dyDescent="0.2">
      <c r="F533" s="31"/>
      <c r="G533" s="31"/>
      <c r="H533" s="31"/>
    </row>
    <row r="534" spans="6:8" ht="12.75" customHeight="1" x14ac:dyDescent="0.2">
      <c r="F534" s="31"/>
      <c r="G534" s="31"/>
      <c r="H534" s="31"/>
    </row>
    <row r="535" spans="6:8" ht="12.75" customHeight="1" x14ac:dyDescent="0.2">
      <c r="F535" s="31"/>
      <c r="G535" s="31"/>
      <c r="H535" s="31"/>
    </row>
    <row r="536" spans="6:8" ht="12.75" customHeight="1" x14ac:dyDescent="0.2">
      <c r="F536" s="31"/>
      <c r="G536" s="31"/>
      <c r="H536" s="31"/>
    </row>
    <row r="537" spans="6:8" ht="12.75" customHeight="1" x14ac:dyDescent="0.2">
      <c r="F537" s="31"/>
      <c r="G537" s="31"/>
      <c r="H537" s="31"/>
    </row>
    <row r="538" spans="6:8" ht="12.75" customHeight="1" x14ac:dyDescent="0.2">
      <c r="F538" s="31"/>
      <c r="G538" s="31"/>
      <c r="H538" s="31"/>
    </row>
    <row r="539" spans="6:8" ht="12.75" customHeight="1" x14ac:dyDescent="0.2">
      <c r="F539" s="31"/>
      <c r="G539" s="31"/>
      <c r="H539" s="31"/>
    </row>
    <row r="540" spans="6:8" ht="12.75" customHeight="1" x14ac:dyDescent="0.2">
      <c r="F540" s="31"/>
      <c r="G540" s="31"/>
      <c r="H540" s="31"/>
    </row>
    <row r="541" spans="6:8" ht="12.75" customHeight="1" x14ac:dyDescent="0.2">
      <c r="F541" s="31"/>
      <c r="G541" s="31"/>
      <c r="H541" s="31"/>
    </row>
    <row r="542" spans="6:8" ht="12.75" customHeight="1" x14ac:dyDescent="0.2">
      <c r="F542" s="31"/>
      <c r="G542" s="31"/>
      <c r="H542" s="31"/>
    </row>
    <row r="543" spans="6:8" ht="12.75" customHeight="1" x14ac:dyDescent="0.2">
      <c r="F543" s="31"/>
      <c r="G543" s="31"/>
      <c r="H543" s="31"/>
    </row>
    <row r="544" spans="6:8" ht="12.75" customHeight="1" x14ac:dyDescent="0.2">
      <c r="F544" s="31"/>
      <c r="G544" s="31"/>
      <c r="H544" s="31"/>
    </row>
    <row r="545" spans="6:8" ht="12.75" customHeight="1" x14ac:dyDescent="0.2">
      <c r="F545" s="31"/>
      <c r="G545" s="31"/>
      <c r="H545" s="31"/>
    </row>
    <row r="546" spans="6:8" ht="12.75" customHeight="1" x14ac:dyDescent="0.2">
      <c r="F546" s="31"/>
      <c r="G546" s="31"/>
      <c r="H546" s="31"/>
    </row>
    <row r="547" spans="6:8" ht="12.75" customHeight="1" x14ac:dyDescent="0.2">
      <c r="F547" s="31"/>
      <c r="G547" s="31"/>
      <c r="H547" s="31"/>
    </row>
    <row r="548" spans="6:8" ht="12.75" customHeight="1" x14ac:dyDescent="0.2">
      <c r="F548" s="31"/>
      <c r="G548" s="31"/>
      <c r="H548" s="31"/>
    </row>
    <row r="549" spans="6:8" ht="12.75" customHeight="1" x14ac:dyDescent="0.2">
      <c r="F549" s="31"/>
      <c r="G549" s="31"/>
      <c r="H549" s="31"/>
    </row>
    <row r="550" spans="6:8" ht="12.75" customHeight="1" x14ac:dyDescent="0.2">
      <c r="F550" s="31"/>
      <c r="G550" s="31"/>
      <c r="H550" s="31"/>
    </row>
    <row r="551" spans="6:8" ht="12.75" customHeight="1" x14ac:dyDescent="0.2">
      <c r="F551" s="31"/>
      <c r="G551" s="31"/>
      <c r="H551" s="31"/>
    </row>
    <row r="552" spans="6:8" ht="12.75" customHeight="1" x14ac:dyDescent="0.2">
      <c r="F552" s="31"/>
      <c r="G552" s="31"/>
      <c r="H552" s="31"/>
    </row>
    <row r="553" spans="6:8" ht="12.75" customHeight="1" x14ac:dyDescent="0.2">
      <c r="F553" s="31"/>
      <c r="G553" s="31"/>
      <c r="H553" s="31"/>
    </row>
    <row r="554" spans="6:8" ht="12.75" customHeight="1" x14ac:dyDescent="0.2">
      <c r="F554" s="31"/>
      <c r="G554" s="31"/>
      <c r="H554" s="31"/>
    </row>
    <row r="555" spans="6:8" ht="12.75" customHeight="1" x14ac:dyDescent="0.2">
      <c r="F555" s="31"/>
      <c r="G555" s="31"/>
      <c r="H555" s="31"/>
    </row>
    <row r="556" spans="6:8" ht="12.75" customHeight="1" x14ac:dyDescent="0.2">
      <c r="F556" s="31"/>
      <c r="G556" s="31"/>
      <c r="H556" s="31"/>
    </row>
    <row r="557" spans="6:8" ht="12.75" customHeight="1" x14ac:dyDescent="0.2">
      <c r="F557" s="31"/>
      <c r="G557" s="31"/>
      <c r="H557" s="31"/>
    </row>
    <row r="558" spans="6:8" ht="12.75" customHeight="1" x14ac:dyDescent="0.2">
      <c r="F558" s="31"/>
      <c r="G558" s="31"/>
      <c r="H558" s="31"/>
    </row>
    <row r="559" spans="6:8" ht="12.75" customHeight="1" x14ac:dyDescent="0.2">
      <c r="F559" s="31"/>
      <c r="G559" s="31"/>
      <c r="H559" s="31"/>
    </row>
    <row r="560" spans="6:8" ht="12.75" customHeight="1" x14ac:dyDescent="0.2">
      <c r="F560" s="31"/>
      <c r="G560" s="31"/>
      <c r="H560" s="31"/>
    </row>
    <row r="561" spans="6:8" ht="12.75" customHeight="1" x14ac:dyDescent="0.2">
      <c r="F561" s="31"/>
      <c r="G561" s="31"/>
      <c r="H561" s="31"/>
    </row>
    <row r="562" spans="6:8" ht="12.75" customHeight="1" x14ac:dyDescent="0.2">
      <c r="F562" s="31"/>
      <c r="G562" s="31"/>
      <c r="H562" s="31"/>
    </row>
    <row r="563" spans="6:8" ht="12.75" customHeight="1" x14ac:dyDescent="0.2">
      <c r="F563" s="31"/>
      <c r="G563" s="31"/>
      <c r="H563" s="31"/>
    </row>
    <row r="564" spans="6:8" ht="12.75" customHeight="1" x14ac:dyDescent="0.2">
      <c r="F564" s="31"/>
      <c r="G564" s="31"/>
      <c r="H564" s="31"/>
    </row>
    <row r="565" spans="6:8" ht="12.75" customHeight="1" x14ac:dyDescent="0.2">
      <c r="F565" s="31"/>
      <c r="G565" s="31"/>
      <c r="H565" s="31"/>
    </row>
    <row r="566" spans="6:8" ht="12.75" customHeight="1" x14ac:dyDescent="0.2">
      <c r="F566" s="31"/>
      <c r="G566" s="31"/>
      <c r="H566" s="31"/>
    </row>
    <row r="567" spans="6:8" ht="12.75" customHeight="1" x14ac:dyDescent="0.2">
      <c r="F567" s="31"/>
      <c r="G567" s="31"/>
      <c r="H567" s="31"/>
    </row>
    <row r="568" spans="6:8" ht="12.75" customHeight="1" x14ac:dyDescent="0.2">
      <c r="F568" s="31"/>
      <c r="G568" s="31"/>
      <c r="H568" s="31"/>
    </row>
    <row r="569" spans="6:8" ht="12.75" customHeight="1" x14ac:dyDescent="0.2">
      <c r="F569" s="31"/>
      <c r="G569" s="31"/>
      <c r="H569" s="31"/>
    </row>
    <row r="570" spans="6:8" ht="12.75" customHeight="1" x14ac:dyDescent="0.2">
      <c r="F570" s="31"/>
      <c r="G570" s="31"/>
      <c r="H570" s="31"/>
    </row>
    <row r="571" spans="6:8" ht="12.75" customHeight="1" x14ac:dyDescent="0.2">
      <c r="F571" s="31"/>
      <c r="G571" s="31"/>
      <c r="H571" s="31"/>
    </row>
    <row r="572" spans="6:8" ht="12.75" customHeight="1" x14ac:dyDescent="0.2">
      <c r="F572" s="31"/>
      <c r="G572" s="31"/>
      <c r="H572" s="31"/>
    </row>
    <row r="573" spans="6:8" ht="12.75" customHeight="1" x14ac:dyDescent="0.2">
      <c r="F573" s="31"/>
      <c r="G573" s="31"/>
      <c r="H573" s="31"/>
    </row>
    <row r="574" spans="6:8" ht="12.75" customHeight="1" x14ac:dyDescent="0.2">
      <c r="F574" s="31"/>
      <c r="G574" s="31"/>
      <c r="H574" s="31"/>
    </row>
    <row r="575" spans="6:8" ht="12.75" customHeight="1" x14ac:dyDescent="0.2">
      <c r="F575" s="31"/>
      <c r="G575" s="31"/>
      <c r="H575" s="31"/>
    </row>
    <row r="576" spans="6:8" ht="12.75" customHeight="1" x14ac:dyDescent="0.2">
      <c r="F576" s="31"/>
      <c r="G576" s="31"/>
      <c r="H576" s="31"/>
    </row>
    <row r="577" spans="6:8" ht="12.75" customHeight="1" x14ac:dyDescent="0.2">
      <c r="F577" s="31"/>
      <c r="G577" s="31"/>
      <c r="H577" s="31"/>
    </row>
    <row r="578" spans="6:8" ht="12.75" customHeight="1" x14ac:dyDescent="0.2">
      <c r="F578" s="31"/>
      <c r="G578" s="31"/>
      <c r="H578" s="31"/>
    </row>
    <row r="579" spans="6:8" ht="12.75" customHeight="1" x14ac:dyDescent="0.2">
      <c r="F579" s="31"/>
      <c r="G579" s="31"/>
      <c r="H579" s="31"/>
    </row>
    <row r="580" spans="6:8" ht="12.75" customHeight="1" x14ac:dyDescent="0.2">
      <c r="F580" s="31"/>
      <c r="G580" s="31"/>
      <c r="H580" s="31"/>
    </row>
    <row r="581" spans="6:8" ht="12.75" customHeight="1" x14ac:dyDescent="0.2">
      <c r="F581" s="31"/>
      <c r="G581" s="31"/>
      <c r="H581" s="31"/>
    </row>
    <row r="582" spans="6:8" ht="12.75" customHeight="1" x14ac:dyDescent="0.2">
      <c r="F582" s="31"/>
      <c r="G582" s="31"/>
      <c r="H582" s="31"/>
    </row>
    <row r="583" spans="6:8" ht="12.75" customHeight="1" x14ac:dyDescent="0.2">
      <c r="F583" s="31"/>
      <c r="G583" s="31"/>
      <c r="H583" s="31"/>
    </row>
    <row r="584" spans="6:8" ht="12.75" customHeight="1" x14ac:dyDescent="0.2">
      <c r="F584" s="31"/>
      <c r="G584" s="31"/>
      <c r="H584" s="31"/>
    </row>
    <row r="585" spans="6:8" ht="12.75" customHeight="1" x14ac:dyDescent="0.2">
      <c r="F585" s="31"/>
      <c r="G585" s="31"/>
      <c r="H585" s="31"/>
    </row>
    <row r="586" spans="6:8" ht="12.75" customHeight="1" x14ac:dyDescent="0.2">
      <c r="F586" s="31"/>
      <c r="G586" s="31"/>
      <c r="H586" s="31"/>
    </row>
    <row r="587" spans="6:8" ht="12.75" customHeight="1" x14ac:dyDescent="0.2">
      <c r="F587" s="31"/>
      <c r="G587" s="31"/>
      <c r="H587" s="31"/>
    </row>
    <row r="588" spans="6:8" ht="12.75" customHeight="1" x14ac:dyDescent="0.2">
      <c r="F588" s="31"/>
      <c r="G588" s="31"/>
      <c r="H588" s="31"/>
    </row>
    <row r="589" spans="6:8" ht="12.75" customHeight="1" x14ac:dyDescent="0.2">
      <c r="F589" s="31"/>
      <c r="G589" s="31"/>
      <c r="H589" s="31"/>
    </row>
    <row r="590" spans="6:8" ht="12.75" customHeight="1" x14ac:dyDescent="0.2">
      <c r="F590" s="31"/>
      <c r="G590" s="31"/>
      <c r="H590" s="31"/>
    </row>
    <row r="591" spans="6:8" ht="12.75" customHeight="1" x14ac:dyDescent="0.2">
      <c r="F591" s="31"/>
      <c r="G591" s="31"/>
      <c r="H591" s="31"/>
    </row>
    <row r="592" spans="6:8" ht="12.75" customHeight="1" x14ac:dyDescent="0.2">
      <c r="F592" s="31"/>
      <c r="G592" s="31"/>
      <c r="H592" s="31"/>
    </row>
    <row r="593" spans="6:8" ht="12.75" customHeight="1" x14ac:dyDescent="0.2">
      <c r="F593" s="31"/>
      <c r="G593" s="31"/>
      <c r="H593" s="31"/>
    </row>
    <row r="594" spans="6:8" ht="12.75" customHeight="1" x14ac:dyDescent="0.2">
      <c r="F594" s="31"/>
      <c r="G594" s="31"/>
      <c r="H594" s="31"/>
    </row>
    <row r="595" spans="6:8" ht="12.75" customHeight="1" x14ac:dyDescent="0.2">
      <c r="F595" s="31"/>
      <c r="G595" s="31"/>
      <c r="H595" s="31"/>
    </row>
    <row r="596" spans="6:8" ht="12.75" customHeight="1" x14ac:dyDescent="0.2">
      <c r="F596" s="31"/>
      <c r="G596" s="31"/>
      <c r="H596" s="31"/>
    </row>
    <row r="597" spans="6:8" ht="12.75" customHeight="1" x14ac:dyDescent="0.2">
      <c r="F597" s="31"/>
      <c r="G597" s="31"/>
      <c r="H597" s="31"/>
    </row>
    <row r="598" spans="6:8" ht="12.75" customHeight="1" x14ac:dyDescent="0.2">
      <c r="F598" s="31"/>
      <c r="G598" s="31"/>
      <c r="H598" s="31"/>
    </row>
    <row r="599" spans="6:8" ht="12.75" customHeight="1" x14ac:dyDescent="0.2">
      <c r="F599" s="31"/>
      <c r="G599" s="31"/>
      <c r="H599" s="31"/>
    </row>
    <row r="600" spans="6:8" ht="12.75" customHeight="1" x14ac:dyDescent="0.2">
      <c r="F600" s="31"/>
      <c r="G600" s="31"/>
      <c r="H600" s="31"/>
    </row>
    <row r="601" spans="6:8" ht="12.75" customHeight="1" x14ac:dyDescent="0.2">
      <c r="F601" s="31"/>
      <c r="G601" s="31"/>
      <c r="H601" s="31"/>
    </row>
    <row r="602" spans="6:8" ht="12.75" customHeight="1" x14ac:dyDescent="0.2">
      <c r="F602" s="31"/>
      <c r="G602" s="31"/>
      <c r="H602" s="31"/>
    </row>
    <row r="603" spans="6:8" ht="12.75" customHeight="1" x14ac:dyDescent="0.2">
      <c r="F603" s="31"/>
      <c r="G603" s="31"/>
      <c r="H603" s="31"/>
    </row>
    <row r="604" spans="6:8" ht="12.75" customHeight="1" x14ac:dyDescent="0.2">
      <c r="F604" s="31"/>
      <c r="G604" s="31"/>
      <c r="H604" s="31"/>
    </row>
    <row r="605" spans="6:8" ht="12.75" customHeight="1" x14ac:dyDescent="0.2">
      <c r="F605" s="31"/>
      <c r="G605" s="31"/>
      <c r="H605" s="31"/>
    </row>
    <row r="606" spans="6:8" ht="12.75" customHeight="1" x14ac:dyDescent="0.2">
      <c r="F606" s="31"/>
      <c r="G606" s="31"/>
      <c r="H606" s="31"/>
    </row>
    <row r="607" spans="6:8" ht="12.75" customHeight="1" x14ac:dyDescent="0.2">
      <c r="F607" s="31"/>
      <c r="G607" s="31"/>
      <c r="H607" s="31"/>
    </row>
    <row r="608" spans="6:8" ht="12.75" customHeight="1" x14ac:dyDescent="0.2">
      <c r="F608" s="31"/>
      <c r="G608" s="31"/>
      <c r="H608" s="31"/>
    </row>
    <row r="609" spans="6:8" ht="12.75" customHeight="1" x14ac:dyDescent="0.2">
      <c r="F609" s="31"/>
      <c r="G609" s="31"/>
      <c r="H609" s="31"/>
    </row>
    <row r="610" spans="6:8" ht="12.75" customHeight="1" x14ac:dyDescent="0.2">
      <c r="F610" s="31"/>
      <c r="G610" s="31"/>
      <c r="H610" s="31"/>
    </row>
    <row r="611" spans="6:8" ht="12.75" customHeight="1" x14ac:dyDescent="0.2">
      <c r="F611" s="31"/>
      <c r="G611" s="31"/>
      <c r="H611" s="31"/>
    </row>
    <row r="612" spans="6:8" ht="12.75" customHeight="1" x14ac:dyDescent="0.2">
      <c r="F612" s="31"/>
      <c r="G612" s="31"/>
      <c r="H612" s="31"/>
    </row>
    <row r="613" spans="6:8" ht="12.75" customHeight="1" x14ac:dyDescent="0.2">
      <c r="F613" s="31"/>
      <c r="G613" s="31"/>
      <c r="H613" s="31"/>
    </row>
    <row r="614" spans="6:8" ht="12.75" customHeight="1" x14ac:dyDescent="0.2">
      <c r="F614" s="31"/>
      <c r="G614" s="31"/>
      <c r="H614" s="31"/>
    </row>
    <row r="615" spans="6:8" ht="12.75" customHeight="1" x14ac:dyDescent="0.2">
      <c r="F615" s="31"/>
      <c r="G615" s="31"/>
      <c r="H615" s="31"/>
    </row>
    <row r="616" spans="6:8" ht="12.75" customHeight="1" x14ac:dyDescent="0.2">
      <c r="F616" s="31"/>
      <c r="G616" s="31"/>
      <c r="H616" s="31"/>
    </row>
    <row r="617" spans="6:8" ht="12.75" customHeight="1" x14ac:dyDescent="0.2">
      <c r="F617" s="31"/>
      <c r="G617" s="31"/>
      <c r="H617" s="31"/>
    </row>
    <row r="618" spans="6:8" ht="12.75" customHeight="1" x14ac:dyDescent="0.2">
      <c r="F618" s="31"/>
      <c r="G618" s="31"/>
      <c r="H618" s="31"/>
    </row>
    <row r="619" spans="6:8" ht="12.75" customHeight="1" x14ac:dyDescent="0.2">
      <c r="F619" s="31"/>
      <c r="G619" s="31"/>
      <c r="H619" s="31"/>
    </row>
    <row r="620" spans="6:8" ht="12.75" customHeight="1" x14ac:dyDescent="0.2">
      <c r="F620" s="31"/>
      <c r="G620" s="31"/>
      <c r="H620" s="31"/>
    </row>
    <row r="621" spans="6:8" ht="12.75" customHeight="1" x14ac:dyDescent="0.2">
      <c r="F621" s="31"/>
      <c r="G621" s="31"/>
      <c r="H621" s="31"/>
    </row>
    <row r="622" spans="6:8" ht="12.75" customHeight="1" x14ac:dyDescent="0.2">
      <c r="F622" s="31"/>
      <c r="G622" s="31"/>
      <c r="H622" s="31"/>
    </row>
    <row r="623" spans="6:8" ht="12.75" customHeight="1" x14ac:dyDescent="0.2">
      <c r="F623" s="31"/>
      <c r="G623" s="31"/>
      <c r="H623" s="31"/>
    </row>
    <row r="624" spans="6:8" ht="12.75" customHeight="1" x14ac:dyDescent="0.2">
      <c r="F624" s="31"/>
      <c r="G624" s="31"/>
      <c r="H624" s="31"/>
    </row>
    <row r="625" spans="6:8" ht="12.75" customHeight="1" x14ac:dyDescent="0.2">
      <c r="F625" s="31"/>
      <c r="G625" s="31"/>
      <c r="H625" s="31"/>
    </row>
    <row r="626" spans="6:8" ht="12.75" customHeight="1" x14ac:dyDescent="0.2">
      <c r="F626" s="31"/>
      <c r="G626" s="31"/>
      <c r="H626" s="31"/>
    </row>
    <row r="627" spans="6:8" ht="12.75" customHeight="1" x14ac:dyDescent="0.2">
      <c r="F627" s="31"/>
      <c r="G627" s="31"/>
      <c r="H627" s="31"/>
    </row>
    <row r="628" spans="6:8" ht="12.75" customHeight="1" x14ac:dyDescent="0.2">
      <c r="F628" s="31"/>
      <c r="G628" s="31"/>
      <c r="H628" s="31"/>
    </row>
    <row r="629" spans="6:8" ht="12.75" customHeight="1" x14ac:dyDescent="0.2">
      <c r="F629" s="31"/>
      <c r="G629" s="31"/>
      <c r="H629" s="31"/>
    </row>
    <row r="630" spans="6:8" ht="12.75" customHeight="1" x14ac:dyDescent="0.2">
      <c r="F630" s="31"/>
      <c r="G630" s="31"/>
      <c r="H630" s="31"/>
    </row>
    <row r="631" spans="6:8" ht="12.75" customHeight="1" x14ac:dyDescent="0.2">
      <c r="F631" s="31"/>
      <c r="G631" s="31"/>
      <c r="H631" s="31"/>
    </row>
    <row r="632" spans="6:8" ht="12.75" customHeight="1" x14ac:dyDescent="0.2">
      <c r="F632" s="31"/>
      <c r="G632" s="31"/>
      <c r="H632" s="31"/>
    </row>
    <row r="633" spans="6:8" ht="12.75" customHeight="1" x14ac:dyDescent="0.2">
      <c r="F633" s="31"/>
      <c r="G633" s="31"/>
      <c r="H633" s="31"/>
    </row>
    <row r="634" spans="6:8" ht="12.75" customHeight="1" x14ac:dyDescent="0.2">
      <c r="F634" s="31"/>
      <c r="G634" s="31"/>
      <c r="H634" s="31"/>
    </row>
    <row r="635" spans="6:8" ht="12.75" customHeight="1" x14ac:dyDescent="0.2">
      <c r="F635" s="31"/>
      <c r="G635" s="31"/>
      <c r="H635" s="31"/>
    </row>
    <row r="636" spans="6:8" ht="12.75" customHeight="1" x14ac:dyDescent="0.2">
      <c r="F636" s="31"/>
      <c r="G636" s="31"/>
      <c r="H636" s="31"/>
    </row>
    <row r="637" spans="6:8" ht="12.75" customHeight="1" x14ac:dyDescent="0.2">
      <c r="F637" s="31"/>
      <c r="G637" s="31"/>
      <c r="H637" s="31"/>
    </row>
    <row r="638" spans="6:8" ht="12.75" customHeight="1" x14ac:dyDescent="0.2">
      <c r="F638" s="31"/>
      <c r="G638" s="31"/>
      <c r="H638" s="31"/>
    </row>
    <row r="639" spans="6:8" ht="12.75" customHeight="1" x14ac:dyDescent="0.2">
      <c r="F639" s="31"/>
      <c r="G639" s="31"/>
      <c r="H639" s="31"/>
    </row>
    <row r="640" spans="6:8" ht="12.75" customHeight="1" x14ac:dyDescent="0.2">
      <c r="F640" s="31"/>
      <c r="G640" s="31"/>
      <c r="H640" s="31"/>
    </row>
    <row r="641" spans="6:8" ht="12.75" customHeight="1" x14ac:dyDescent="0.2">
      <c r="F641" s="31"/>
      <c r="G641" s="31"/>
      <c r="H641" s="31"/>
    </row>
    <row r="642" spans="6:8" ht="12.75" customHeight="1" x14ac:dyDescent="0.2">
      <c r="F642" s="31"/>
      <c r="G642" s="31"/>
      <c r="H642" s="31"/>
    </row>
    <row r="643" spans="6:8" ht="12.75" customHeight="1" x14ac:dyDescent="0.2">
      <c r="F643" s="31"/>
      <c r="G643" s="31"/>
      <c r="H643" s="31"/>
    </row>
    <row r="644" spans="6:8" ht="12.75" customHeight="1" x14ac:dyDescent="0.2">
      <c r="F644" s="31"/>
      <c r="G644" s="31"/>
      <c r="H644" s="31"/>
    </row>
    <row r="645" spans="6:8" ht="12.75" customHeight="1" x14ac:dyDescent="0.2">
      <c r="F645" s="31"/>
      <c r="G645" s="31"/>
      <c r="H645" s="31"/>
    </row>
    <row r="646" spans="6:8" ht="12.75" customHeight="1" x14ac:dyDescent="0.2">
      <c r="F646" s="31"/>
      <c r="G646" s="31"/>
      <c r="H646" s="31"/>
    </row>
    <row r="647" spans="6:8" ht="12.75" customHeight="1" x14ac:dyDescent="0.2">
      <c r="F647" s="31"/>
      <c r="G647" s="31"/>
      <c r="H647" s="31"/>
    </row>
    <row r="648" spans="6:8" ht="12.75" customHeight="1" x14ac:dyDescent="0.2">
      <c r="F648" s="31"/>
      <c r="G648" s="31"/>
      <c r="H648" s="31"/>
    </row>
    <row r="649" spans="6:8" ht="12.75" customHeight="1" x14ac:dyDescent="0.2">
      <c r="F649" s="31"/>
      <c r="G649" s="31"/>
      <c r="H649" s="31"/>
    </row>
    <row r="650" spans="6:8" ht="12.75" customHeight="1" x14ac:dyDescent="0.2">
      <c r="F650" s="31"/>
      <c r="G650" s="31"/>
      <c r="H650" s="31"/>
    </row>
    <row r="651" spans="6:8" ht="12.75" customHeight="1" x14ac:dyDescent="0.2">
      <c r="F651" s="31"/>
      <c r="G651" s="31"/>
      <c r="H651" s="31"/>
    </row>
    <row r="652" spans="6:8" ht="12.75" customHeight="1" x14ac:dyDescent="0.2">
      <c r="F652" s="31"/>
      <c r="G652" s="31"/>
      <c r="H652" s="31"/>
    </row>
    <row r="653" spans="6:8" ht="12.75" customHeight="1" x14ac:dyDescent="0.2">
      <c r="F653" s="31"/>
      <c r="G653" s="31"/>
      <c r="H653" s="31"/>
    </row>
    <row r="654" spans="6:8" ht="12.75" customHeight="1" x14ac:dyDescent="0.2">
      <c r="F654" s="31"/>
      <c r="G654" s="31"/>
      <c r="H654" s="31"/>
    </row>
    <row r="655" spans="6:8" ht="12.75" customHeight="1" x14ac:dyDescent="0.2">
      <c r="F655" s="31"/>
      <c r="G655" s="31"/>
      <c r="H655" s="31"/>
    </row>
    <row r="656" spans="6:8" ht="12.75" customHeight="1" x14ac:dyDescent="0.2">
      <c r="F656" s="31"/>
      <c r="G656" s="31"/>
      <c r="H656" s="31"/>
    </row>
    <row r="657" spans="6:8" ht="12.75" customHeight="1" x14ac:dyDescent="0.2">
      <c r="F657" s="31"/>
      <c r="G657" s="31"/>
      <c r="H657" s="31"/>
    </row>
    <row r="658" spans="6:8" ht="12.75" customHeight="1" x14ac:dyDescent="0.2">
      <c r="F658" s="31"/>
      <c r="G658" s="31"/>
      <c r="H658" s="31"/>
    </row>
    <row r="659" spans="6:8" ht="12.75" customHeight="1" x14ac:dyDescent="0.2">
      <c r="F659" s="31"/>
      <c r="G659" s="31"/>
      <c r="H659" s="31"/>
    </row>
    <row r="660" spans="6:8" ht="12.75" customHeight="1" x14ac:dyDescent="0.2">
      <c r="F660" s="31"/>
      <c r="G660" s="31"/>
      <c r="H660" s="31"/>
    </row>
    <row r="661" spans="6:8" ht="12.75" customHeight="1" x14ac:dyDescent="0.2">
      <c r="F661" s="31"/>
      <c r="G661" s="31"/>
      <c r="H661" s="31"/>
    </row>
    <row r="662" spans="6:8" ht="12.75" customHeight="1" x14ac:dyDescent="0.2">
      <c r="F662" s="31"/>
      <c r="G662" s="31"/>
      <c r="H662" s="31"/>
    </row>
    <row r="663" spans="6:8" ht="12.75" customHeight="1" x14ac:dyDescent="0.2">
      <c r="F663" s="31"/>
      <c r="G663" s="31"/>
      <c r="H663" s="31"/>
    </row>
    <row r="664" spans="6:8" ht="12.75" customHeight="1" x14ac:dyDescent="0.2">
      <c r="F664" s="31"/>
      <c r="G664" s="31"/>
      <c r="H664" s="31"/>
    </row>
    <row r="665" spans="6:8" ht="12.75" customHeight="1" x14ac:dyDescent="0.2">
      <c r="F665" s="31"/>
      <c r="G665" s="31"/>
      <c r="H665" s="31"/>
    </row>
    <row r="666" spans="6:8" ht="12.75" customHeight="1" x14ac:dyDescent="0.2">
      <c r="F666" s="31"/>
      <c r="G666" s="31"/>
      <c r="H666" s="31"/>
    </row>
    <row r="667" spans="6:8" ht="12.75" customHeight="1" x14ac:dyDescent="0.2">
      <c r="F667" s="31"/>
      <c r="G667" s="31"/>
      <c r="H667" s="31"/>
    </row>
    <row r="668" spans="6:8" ht="12.75" customHeight="1" x14ac:dyDescent="0.2">
      <c r="F668" s="31"/>
      <c r="G668" s="31"/>
      <c r="H668" s="31"/>
    </row>
    <row r="669" spans="6:8" ht="12.75" customHeight="1" x14ac:dyDescent="0.2">
      <c r="F669" s="31"/>
      <c r="G669" s="31"/>
      <c r="H669" s="31"/>
    </row>
    <row r="670" spans="6:8" ht="12.75" customHeight="1" x14ac:dyDescent="0.2">
      <c r="F670" s="31"/>
      <c r="G670" s="31"/>
      <c r="H670" s="31"/>
    </row>
    <row r="671" spans="6:8" ht="12.75" customHeight="1" x14ac:dyDescent="0.2">
      <c r="F671" s="31"/>
      <c r="G671" s="31"/>
      <c r="H671" s="31"/>
    </row>
    <row r="672" spans="6:8" ht="12.75" customHeight="1" x14ac:dyDescent="0.2">
      <c r="F672" s="31"/>
      <c r="G672" s="31"/>
      <c r="H672" s="31"/>
    </row>
    <row r="673" spans="6:8" ht="12.75" customHeight="1" x14ac:dyDescent="0.2">
      <c r="F673" s="31"/>
      <c r="G673" s="31"/>
      <c r="H673" s="31"/>
    </row>
    <row r="674" spans="6:8" ht="12.75" customHeight="1" x14ac:dyDescent="0.2">
      <c r="F674" s="31"/>
      <c r="G674" s="31"/>
      <c r="H674" s="31"/>
    </row>
    <row r="675" spans="6:8" ht="12.75" customHeight="1" x14ac:dyDescent="0.2">
      <c r="F675" s="31"/>
      <c r="G675" s="31"/>
      <c r="H675" s="31"/>
    </row>
    <row r="676" spans="6:8" ht="12.75" customHeight="1" x14ac:dyDescent="0.2">
      <c r="F676" s="31"/>
      <c r="G676" s="31"/>
      <c r="H676" s="31"/>
    </row>
    <row r="677" spans="6:8" ht="12.75" customHeight="1" x14ac:dyDescent="0.2">
      <c r="F677" s="31"/>
      <c r="G677" s="31"/>
      <c r="H677" s="31"/>
    </row>
    <row r="678" spans="6:8" ht="12.75" customHeight="1" x14ac:dyDescent="0.2">
      <c r="F678" s="31"/>
      <c r="G678" s="31"/>
      <c r="H678" s="31"/>
    </row>
    <row r="679" spans="6:8" ht="12.75" customHeight="1" x14ac:dyDescent="0.2">
      <c r="F679" s="31"/>
      <c r="G679" s="31"/>
      <c r="H679" s="31"/>
    </row>
    <row r="680" spans="6:8" ht="12.75" customHeight="1" x14ac:dyDescent="0.2">
      <c r="F680" s="31"/>
      <c r="G680" s="31"/>
      <c r="H680" s="31"/>
    </row>
    <row r="681" spans="6:8" ht="12.75" customHeight="1" x14ac:dyDescent="0.2">
      <c r="F681" s="31"/>
      <c r="G681" s="31"/>
      <c r="H681" s="31"/>
    </row>
    <row r="682" spans="6:8" ht="12.75" customHeight="1" x14ac:dyDescent="0.2">
      <c r="F682" s="31"/>
      <c r="G682" s="31"/>
      <c r="H682" s="31"/>
    </row>
    <row r="683" spans="6:8" ht="12.75" customHeight="1" x14ac:dyDescent="0.2">
      <c r="F683" s="31"/>
      <c r="G683" s="31"/>
      <c r="H683" s="31"/>
    </row>
    <row r="684" spans="6:8" ht="12.75" customHeight="1" x14ac:dyDescent="0.2">
      <c r="F684" s="31"/>
      <c r="G684" s="31"/>
      <c r="H684" s="31"/>
    </row>
    <row r="685" spans="6:8" ht="12.75" customHeight="1" x14ac:dyDescent="0.2">
      <c r="F685" s="31"/>
      <c r="G685" s="31"/>
      <c r="H685" s="31"/>
    </row>
    <row r="686" spans="6:8" ht="12.75" customHeight="1" x14ac:dyDescent="0.2">
      <c r="F686" s="31"/>
      <c r="G686" s="31"/>
      <c r="H686" s="31"/>
    </row>
    <row r="687" spans="6:8" ht="12.75" customHeight="1" x14ac:dyDescent="0.2">
      <c r="F687" s="31"/>
      <c r="G687" s="31"/>
      <c r="H687" s="31"/>
    </row>
    <row r="688" spans="6:8" ht="12.75" customHeight="1" x14ac:dyDescent="0.2">
      <c r="F688" s="31"/>
      <c r="G688" s="31"/>
      <c r="H688" s="31"/>
    </row>
    <row r="689" spans="6:8" ht="12.75" customHeight="1" x14ac:dyDescent="0.2">
      <c r="F689" s="31"/>
      <c r="G689" s="31"/>
      <c r="H689" s="31"/>
    </row>
    <row r="690" spans="6:8" ht="12.75" customHeight="1" x14ac:dyDescent="0.2">
      <c r="F690" s="31"/>
      <c r="G690" s="31"/>
      <c r="H690" s="31"/>
    </row>
    <row r="691" spans="6:8" ht="12.75" customHeight="1" x14ac:dyDescent="0.2">
      <c r="F691" s="31"/>
      <c r="G691" s="31"/>
      <c r="H691" s="31"/>
    </row>
    <row r="692" spans="6:8" ht="12.75" customHeight="1" x14ac:dyDescent="0.2">
      <c r="F692" s="31"/>
      <c r="G692" s="31"/>
      <c r="H692" s="31"/>
    </row>
    <row r="693" spans="6:8" ht="12.75" customHeight="1" x14ac:dyDescent="0.2">
      <c r="F693" s="31"/>
      <c r="G693" s="31"/>
      <c r="H693" s="31"/>
    </row>
    <row r="694" spans="6:8" ht="12.75" customHeight="1" x14ac:dyDescent="0.2">
      <c r="F694" s="31"/>
      <c r="G694" s="31"/>
      <c r="H694" s="31"/>
    </row>
    <row r="695" spans="6:8" ht="12.75" customHeight="1" x14ac:dyDescent="0.2">
      <c r="F695" s="31"/>
      <c r="G695" s="31"/>
      <c r="H695" s="31"/>
    </row>
    <row r="696" spans="6:8" ht="12.75" customHeight="1" x14ac:dyDescent="0.2">
      <c r="F696" s="31"/>
      <c r="G696" s="31"/>
      <c r="H696" s="31"/>
    </row>
    <row r="697" spans="6:8" ht="12.75" customHeight="1" x14ac:dyDescent="0.2">
      <c r="F697" s="31"/>
      <c r="G697" s="31"/>
      <c r="H697" s="31"/>
    </row>
    <row r="698" spans="6:8" ht="12.75" customHeight="1" x14ac:dyDescent="0.2">
      <c r="F698" s="31"/>
      <c r="G698" s="31"/>
      <c r="H698" s="31"/>
    </row>
    <row r="699" spans="6:8" ht="12.75" customHeight="1" x14ac:dyDescent="0.2">
      <c r="F699" s="31"/>
      <c r="G699" s="31"/>
      <c r="H699" s="31"/>
    </row>
    <row r="700" spans="6:8" ht="12.75" customHeight="1" x14ac:dyDescent="0.2">
      <c r="F700" s="31"/>
      <c r="G700" s="31"/>
      <c r="H700" s="31"/>
    </row>
    <row r="701" spans="6:8" ht="12.75" customHeight="1" x14ac:dyDescent="0.2">
      <c r="F701" s="31"/>
      <c r="G701" s="31"/>
      <c r="H701" s="31"/>
    </row>
    <row r="702" spans="6:8" ht="12.75" customHeight="1" x14ac:dyDescent="0.2">
      <c r="F702" s="31"/>
      <c r="G702" s="31"/>
      <c r="H702" s="31"/>
    </row>
    <row r="703" spans="6:8" ht="12.75" customHeight="1" x14ac:dyDescent="0.2">
      <c r="F703" s="31"/>
      <c r="G703" s="31"/>
      <c r="H703" s="31"/>
    </row>
    <row r="704" spans="6:8" ht="12.75" customHeight="1" x14ac:dyDescent="0.2">
      <c r="F704" s="31"/>
      <c r="G704" s="31"/>
      <c r="H704" s="31"/>
    </row>
    <row r="705" spans="6:8" ht="12.75" customHeight="1" x14ac:dyDescent="0.2">
      <c r="F705" s="31"/>
      <c r="G705" s="31"/>
      <c r="H705" s="31"/>
    </row>
    <row r="706" spans="6:8" ht="12.75" customHeight="1" x14ac:dyDescent="0.2">
      <c r="F706" s="31"/>
      <c r="G706" s="31"/>
      <c r="H706" s="31"/>
    </row>
    <row r="707" spans="6:8" ht="12.75" customHeight="1" x14ac:dyDescent="0.2">
      <c r="F707" s="31"/>
      <c r="G707" s="31"/>
      <c r="H707" s="31"/>
    </row>
    <row r="708" spans="6:8" ht="12.75" customHeight="1" x14ac:dyDescent="0.2">
      <c r="F708" s="31"/>
      <c r="G708" s="31"/>
      <c r="H708" s="31"/>
    </row>
    <row r="709" spans="6:8" ht="12.75" customHeight="1" x14ac:dyDescent="0.2">
      <c r="F709" s="31"/>
      <c r="G709" s="31"/>
      <c r="H709" s="31"/>
    </row>
    <row r="710" spans="6:8" ht="12.75" customHeight="1" x14ac:dyDescent="0.2">
      <c r="F710" s="31"/>
      <c r="G710" s="31"/>
      <c r="H710" s="31"/>
    </row>
    <row r="711" spans="6:8" ht="12.75" customHeight="1" x14ac:dyDescent="0.2">
      <c r="F711" s="31"/>
      <c r="G711" s="31"/>
      <c r="H711" s="31"/>
    </row>
    <row r="712" spans="6:8" ht="12.75" customHeight="1" x14ac:dyDescent="0.2">
      <c r="F712" s="31"/>
      <c r="G712" s="31"/>
      <c r="H712" s="31"/>
    </row>
    <row r="713" spans="6:8" ht="12.75" customHeight="1" x14ac:dyDescent="0.2">
      <c r="F713" s="31"/>
      <c r="G713" s="31"/>
      <c r="H713" s="31"/>
    </row>
    <row r="714" spans="6:8" ht="12.75" customHeight="1" x14ac:dyDescent="0.2">
      <c r="F714" s="31"/>
      <c r="G714" s="31"/>
      <c r="H714" s="31"/>
    </row>
    <row r="715" spans="6:8" ht="12.75" customHeight="1" x14ac:dyDescent="0.2">
      <c r="F715" s="31"/>
      <c r="G715" s="31"/>
      <c r="H715" s="31"/>
    </row>
    <row r="716" spans="6:8" ht="12.75" customHeight="1" x14ac:dyDescent="0.2">
      <c r="F716" s="31"/>
      <c r="G716" s="31"/>
      <c r="H716" s="31"/>
    </row>
    <row r="717" spans="6:8" ht="12.75" customHeight="1" x14ac:dyDescent="0.2">
      <c r="F717" s="31"/>
      <c r="G717" s="31"/>
      <c r="H717" s="31"/>
    </row>
    <row r="718" spans="6:8" ht="12.75" customHeight="1" x14ac:dyDescent="0.2">
      <c r="F718" s="31"/>
      <c r="G718" s="31"/>
      <c r="H718" s="31"/>
    </row>
    <row r="719" spans="6:8" ht="12.75" customHeight="1" x14ac:dyDescent="0.2">
      <c r="F719" s="31"/>
      <c r="G719" s="31"/>
      <c r="H719" s="31"/>
    </row>
    <row r="720" spans="6:8" ht="12.75" customHeight="1" x14ac:dyDescent="0.2">
      <c r="F720" s="31"/>
      <c r="G720" s="31"/>
      <c r="H720" s="31"/>
    </row>
    <row r="721" spans="6:8" ht="12.75" customHeight="1" x14ac:dyDescent="0.2">
      <c r="F721" s="31"/>
      <c r="G721" s="31"/>
      <c r="H721" s="31"/>
    </row>
    <row r="722" spans="6:8" ht="12.75" customHeight="1" x14ac:dyDescent="0.2">
      <c r="F722" s="31"/>
      <c r="G722" s="31"/>
      <c r="H722" s="31"/>
    </row>
    <row r="723" spans="6:8" ht="12.75" customHeight="1" x14ac:dyDescent="0.2">
      <c r="F723" s="31"/>
      <c r="G723" s="31"/>
      <c r="H723" s="31"/>
    </row>
    <row r="724" spans="6:8" ht="12.75" customHeight="1" x14ac:dyDescent="0.2">
      <c r="F724" s="31"/>
      <c r="G724" s="31"/>
      <c r="H724" s="31"/>
    </row>
    <row r="725" spans="6:8" ht="12.75" customHeight="1" x14ac:dyDescent="0.2">
      <c r="F725" s="31"/>
      <c r="G725" s="31"/>
      <c r="H725" s="31"/>
    </row>
    <row r="726" spans="6:8" ht="12.75" customHeight="1" x14ac:dyDescent="0.2">
      <c r="F726" s="31"/>
      <c r="G726" s="31"/>
      <c r="H726" s="31"/>
    </row>
    <row r="727" spans="6:8" ht="12.75" customHeight="1" x14ac:dyDescent="0.2">
      <c r="F727" s="31"/>
      <c r="G727" s="31"/>
      <c r="H727" s="31"/>
    </row>
    <row r="728" spans="6:8" ht="12.75" customHeight="1" x14ac:dyDescent="0.2">
      <c r="F728" s="31"/>
      <c r="G728" s="31"/>
      <c r="H728" s="31"/>
    </row>
    <row r="729" spans="6:8" ht="12.75" customHeight="1" x14ac:dyDescent="0.2">
      <c r="F729" s="31"/>
      <c r="G729" s="31"/>
      <c r="H729" s="31"/>
    </row>
    <row r="730" spans="6:8" ht="12.75" customHeight="1" x14ac:dyDescent="0.2">
      <c r="F730" s="31"/>
      <c r="G730" s="31"/>
      <c r="H730" s="31"/>
    </row>
    <row r="731" spans="6:8" ht="12.75" customHeight="1" x14ac:dyDescent="0.2">
      <c r="F731" s="31"/>
      <c r="G731" s="31"/>
      <c r="H731" s="31"/>
    </row>
    <row r="732" spans="6:8" ht="12.75" customHeight="1" x14ac:dyDescent="0.2">
      <c r="F732" s="31"/>
      <c r="G732" s="31"/>
      <c r="H732" s="31"/>
    </row>
    <row r="733" spans="6:8" ht="12.75" customHeight="1" x14ac:dyDescent="0.2">
      <c r="F733" s="31"/>
      <c r="G733" s="31"/>
      <c r="H733" s="31"/>
    </row>
    <row r="734" spans="6:8" ht="12.75" customHeight="1" x14ac:dyDescent="0.2">
      <c r="F734" s="31"/>
      <c r="G734" s="31"/>
      <c r="H734" s="31"/>
    </row>
    <row r="735" spans="6:8" ht="12.75" customHeight="1" x14ac:dyDescent="0.2">
      <c r="F735" s="31"/>
      <c r="G735" s="31"/>
      <c r="H735" s="31"/>
    </row>
    <row r="736" spans="6:8" ht="12.75" customHeight="1" x14ac:dyDescent="0.2">
      <c r="F736" s="31"/>
      <c r="G736" s="31"/>
      <c r="H736" s="31"/>
    </row>
    <row r="737" spans="6:8" ht="12.75" customHeight="1" x14ac:dyDescent="0.2">
      <c r="F737" s="31"/>
      <c r="G737" s="31"/>
      <c r="H737" s="31"/>
    </row>
    <row r="738" spans="6:8" ht="12.75" customHeight="1" x14ac:dyDescent="0.2">
      <c r="F738" s="31"/>
      <c r="G738" s="31"/>
      <c r="H738" s="31"/>
    </row>
    <row r="739" spans="6:8" ht="12.75" customHeight="1" x14ac:dyDescent="0.2">
      <c r="F739" s="31"/>
      <c r="G739" s="31"/>
      <c r="H739" s="31"/>
    </row>
    <row r="740" spans="6:8" ht="12.75" customHeight="1" x14ac:dyDescent="0.2">
      <c r="F740" s="31"/>
      <c r="G740" s="31"/>
      <c r="H740" s="31"/>
    </row>
    <row r="741" spans="6:8" ht="12.75" customHeight="1" x14ac:dyDescent="0.2">
      <c r="F741" s="31"/>
      <c r="G741" s="31"/>
      <c r="H741" s="31"/>
    </row>
    <row r="742" spans="6:8" ht="12.75" customHeight="1" x14ac:dyDescent="0.2">
      <c r="F742" s="31"/>
      <c r="G742" s="31"/>
      <c r="H742" s="31"/>
    </row>
    <row r="743" spans="6:8" ht="12.75" customHeight="1" x14ac:dyDescent="0.2">
      <c r="F743" s="31"/>
      <c r="G743" s="31"/>
      <c r="H743" s="31"/>
    </row>
    <row r="744" spans="6:8" ht="12.75" customHeight="1" x14ac:dyDescent="0.2">
      <c r="F744" s="31"/>
      <c r="G744" s="31"/>
      <c r="H744" s="31"/>
    </row>
    <row r="745" spans="6:8" ht="12.75" customHeight="1" x14ac:dyDescent="0.2">
      <c r="F745" s="31"/>
      <c r="G745" s="31"/>
      <c r="H745" s="31"/>
    </row>
    <row r="746" spans="6:8" ht="12.75" customHeight="1" x14ac:dyDescent="0.2">
      <c r="F746" s="31"/>
      <c r="G746" s="31"/>
      <c r="H746" s="31"/>
    </row>
    <row r="747" spans="6:8" ht="12.75" customHeight="1" x14ac:dyDescent="0.2">
      <c r="F747" s="31"/>
      <c r="G747" s="31"/>
      <c r="H747" s="31"/>
    </row>
    <row r="748" spans="6:8" ht="12.75" customHeight="1" x14ac:dyDescent="0.2">
      <c r="F748" s="31"/>
      <c r="G748" s="31"/>
      <c r="H748" s="31"/>
    </row>
    <row r="749" spans="6:8" ht="12.75" customHeight="1" x14ac:dyDescent="0.2">
      <c r="F749" s="31"/>
      <c r="G749" s="31"/>
      <c r="H749" s="31"/>
    </row>
    <row r="750" spans="6:8" ht="12.75" customHeight="1" x14ac:dyDescent="0.2">
      <c r="F750" s="31"/>
      <c r="G750" s="31"/>
      <c r="H750" s="31"/>
    </row>
    <row r="751" spans="6:8" ht="12.75" customHeight="1" x14ac:dyDescent="0.2">
      <c r="F751" s="31"/>
      <c r="G751" s="31"/>
      <c r="H751" s="31"/>
    </row>
    <row r="752" spans="6:8" ht="12.75" customHeight="1" x14ac:dyDescent="0.2">
      <c r="F752" s="31"/>
      <c r="G752" s="31"/>
      <c r="H752" s="31"/>
    </row>
    <row r="753" spans="6:8" ht="12.75" customHeight="1" x14ac:dyDescent="0.2">
      <c r="F753" s="31"/>
      <c r="G753" s="31"/>
      <c r="H753" s="31"/>
    </row>
    <row r="754" spans="6:8" ht="12.75" customHeight="1" x14ac:dyDescent="0.2">
      <c r="F754" s="31"/>
      <c r="G754" s="31"/>
      <c r="H754" s="31"/>
    </row>
    <row r="755" spans="6:8" ht="12.75" customHeight="1" x14ac:dyDescent="0.2">
      <c r="F755" s="31"/>
      <c r="G755" s="31"/>
      <c r="H755" s="31"/>
    </row>
    <row r="756" spans="6:8" ht="12.75" customHeight="1" x14ac:dyDescent="0.2">
      <c r="F756" s="31"/>
      <c r="G756" s="31"/>
      <c r="H756" s="31"/>
    </row>
    <row r="757" spans="6:8" ht="12.75" customHeight="1" x14ac:dyDescent="0.2">
      <c r="F757" s="31"/>
      <c r="G757" s="31"/>
      <c r="H757" s="31"/>
    </row>
    <row r="758" spans="6:8" ht="12.75" customHeight="1" x14ac:dyDescent="0.2">
      <c r="F758" s="31"/>
      <c r="G758" s="31"/>
      <c r="H758" s="31"/>
    </row>
    <row r="759" spans="6:8" ht="12.75" customHeight="1" x14ac:dyDescent="0.2">
      <c r="F759" s="31"/>
      <c r="G759" s="31"/>
      <c r="H759" s="31"/>
    </row>
    <row r="760" spans="6:8" ht="12.75" customHeight="1" x14ac:dyDescent="0.2">
      <c r="F760" s="31"/>
      <c r="G760" s="31"/>
      <c r="H760" s="31"/>
    </row>
    <row r="761" spans="6:8" ht="12.75" customHeight="1" x14ac:dyDescent="0.2">
      <c r="F761" s="31"/>
      <c r="G761" s="31"/>
      <c r="H761" s="31"/>
    </row>
    <row r="762" spans="6:8" ht="12.75" customHeight="1" x14ac:dyDescent="0.2">
      <c r="F762" s="31"/>
      <c r="G762" s="31"/>
      <c r="H762" s="31"/>
    </row>
    <row r="763" spans="6:8" ht="12.75" customHeight="1" x14ac:dyDescent="0.2">
      <c r="F763" s="31"/>
      <c r="G763" s="31"/>
      <c r="H763" s="31"/>
    </row>
    <row r="764" spans="6:8" ht="12.75" customHeight="1" x14ac:dyDescent="0.2">
      <c r="F764" s="31"/>
      <c r="G764" s="31"/>
      <c r="H764" s="31"/>
    </row>
    <row r="765" spans="6:8" ht="12.75" customHeight="1" x14ac:dyDescent="0.2">
      <c r="F765" s="31"/>
      <c r="G765" s="31"/>
      <c r="H765" s="31"/>
    </row>
    <row r="766" spans="6:8" ht="12.75" customHeight="1" x14ac:dyDescent="0.2">
      <c r="F766" s="31"/>
      <c r="G766" s="31"/>
      <c r="H766" s="31"/>
    </row>
    <row r="767" spans="6:8" ht="12.75" customHeight="1" x14ac:dyDescent="0.2">
      <c r="F767" s="31"/>
      <c r="G767" s="31"/>
      <c r="H767" s="31"/>
    </row>
    <row r="768" spans="6:8" ht="12.75" customHeight="1" x14ac:dyDescent="0.2">
      <c r="F768" s="31"/>
      <c r="G768" s="31"/>
      <c r="H768" s="31"/>
    </row>
    <row r="769" spans="6:8" ht="12.75" customHeight="1" x14ac:dyDescent="0.2">
      <c r="F769" s="31"/>
      <c r="G769" s="31"/>
      <c r="H769" s="31"/>
    </row>
    <row r="770" spans="6:8" ht="12.75" customHeight="1" x14ac:dyDescent="0.2">
      <c r="F770" s="31"/>
      <c r="G770" s="31"/>
      <c r="H770" s="31"/>
    </row>
    <row r="771" spans="6:8" ht="12.75" customHeight="1" x14ac:dyDescent="0.2">
      <c r="F771" s="31"/>
      <c r="G771" s="31"/>
      <c r="H771" s="31"/>
    </row>
    <row r="772" spans="6:8" ht="12.75" customHeight="1" x14ac:dyDescent="0.2">
      <c r="F772" s="31"/>
      <c r="G772" s="31"/>
      <c r="H772" s="31"/>
    </row>
    <row r="773" spans="6:8" ht="12.75" customHeight="1" x14ac:dyDescent="0.2">
      <c r="F773" s="31"/>
      <c r="G773" s="31"/>
      <c r="H773" s="31"/>
    </row>
    <row r="774" spans="6:8" ht="12.75" customHeight="1" x14ac:dyDescent="0.2">
      <c r="F774" s="31"/>
      <c r="G774" s="31"/>
      <c r="H774" s="31"/>
    </row>
    <row r="775" spans="6:8" ht="12.75" customHeight="1" x14ac:dyDescent="0.2">
      <c r="F775" s="31"/>
      <c r="G775" s="31"/>
      <c r="H775" s="31"/>
    </row>
    <row r="776" spans="6:8" ht="12.75" customHeight="1" x14ac:dyDescent="0.2">
      <c r="F776" s="31"/>
      <c r="G776" s="31"/>
      <c r="H776" s="31"/>
    </row>
    <row r="777" spans="6:8" ht="12.75" customHeight="1" x14ac:dyDescent="0.2">
      <c r="F777" s="31"/>
      <c r="G777" s="31"/>
      <c r="H777" s="31"/>
    </row>
    <row r="778" spans="6:8" ht="12.75" customHeight="1" x14ac:dyDescent="0.2">
      <c r="F778" s="31"/>
      <c r="G778" s="31"/>
      <c r="H778" s="31"/>
    </row>
    <row r="779" spans="6:8" ht="12.75" customHeight="1" x14ac:dyDescent="0.2">
      <c r="F779" s="31"/>
      <c r="G779" s="31"/>
      <c r="H779" s="31"/>
    </row>
    <row r="780" spans="6:8" ht="12.75" customHeight="1" x14ac:dyDescent="0.2">
      <c r="F780" s="31"/>
      <c r="G780" s="31"/>
      <c r="H780" s="31"/>
    </row>
    <row r="781" spans="6:8" ht="12.75" customHeight="1" x14ac:dyDescent="0.2">
      <c r="F781" s="31"/>
      <c r="G781" s="31"/>
      <c r="H781" s="31"/>
    </row>
    <row r="782" spans="6:8" ht="12.75" customHeight="1" x14ac:dyDescent="0.2">
      <c r="F782" s="31"/>
      <c r="G782" s="31"/>
      <c r="H782" s="31"/>
    </row>
    <row r="783" spans="6:8" ht="12.75" customHeight="1" x14ac:dyDescent="0.2">
      <c r="F783" s="31"/>
      <c r="G783" s="31"/>
      <c r="H783" s="31"/>
    </row>
    <row r="784" spans="6:8" ht="12.75" customHeight="1" x14ac:dyDescent="0.2">
      <c r="F784" s="31"/>
      <c r="G784" s="31"/>
      <c r="H784" s="31"/>
    </row>
    <row r="785" spans="6:8" ht="12.75" customHeight="1" x14ac:dyDescent="0.2">
      <c r="F785" s="31"/>
      <c r="G785" s="31"/>
      <c r="H785" s="31"/>
    </row>
    <row r="786" spans="6:8" ht="12.75" customHeight="1" x14ac:dyDescent="0.2">
      <c r="F786" s="31"/>
      <c r="G786" s="31"/>
      <c r="H786" s="31"/>
    </row>
    <row r="787" spans="6:8" ht="12.75" customHeight="1" x14ac:dyDescent="0.2">
      <c r="F787" s="31"/>
      <c r="G787" s="31"/>
      <c r="H787" s="31"/>
    </row>
    <row r="788" spans="6:8" ht="12.75" customHeight="1" x14ac:dyDescent="0.2">
      <c r="F788" s="31"/>
      <c r="G788" s="31"/>
      <c r="H788" s="31"/>
    </row>
    <row r="789" spans="6:8" ht="12.75" customHeight="1" x14ac:dyDescent="0.2">
      <c r="F789" s="31"/>
      <c r="G789" s="31"/>
      <c r="H789" s="31"/>
    </row>
    <row r="790" spans="6:8" ht="12.75" customHeight="1" x14ac:dyDescent="0.2">
      <c r="F790" s="31"/>
      <c r="G790" s="31"/>
      <c r="H790" s="31"/>
    </row>
    <row r="791" spans="6:8" ht="12.75" customHeight="1" x14ac:dyDescent="0.2">
      <c r="F791" s="31"/>
      <c r="G791" s="31"/>
      <c r="H791" s="31"/>
    </row>
    <row r="792" spans="6:8" ht="12.75" customHeight="1" x14ac:dyDescent="0.2">
      <c r="F792" s="31"/>
      <c r="G792" s="31"/>
      <c r="H792" s="31"/>
    </row>
    <row r="793" spans="6:8" ht="12.75" customHeight="1" x14ac:dyDescent="0.2">
      <c r="F793" s="31"/>
      <c r="G793" s="31"/>
      <c r="H793" s="31"/>
    </row>
    <row r="794" spans="6:8" ht="12.75" customHeight="1" x14ac:dyDescent="0.2">
      <c r="F794" s="31"/>
      <c r="G794" s="31"/>
      <c r="H794" s="31"/>
    </row>
    <row r="795" spans="6:8" ht="12.75" customHeight="1" x14ac:dyDescent="0.2">
      <c r="F795" s="31"/>
      <c r="G795" s="31"/>
      <c r="H795" s="31"/>
    </row>
    <row r="796" spans="6:8" ht="12.75" customHeight="1" x14ac:dyDescent="0.2">
      <c r="F796" s="31"/>
      <c r="G796" s="31"/>
      <c r="H796" s="31"/>
    </row>
    <row r="797" spans="6:8" ht="12.75" customHeight="1" x14ac:dyDescent="0.2">
      <c r="F797" s="31"/>
      <c r="G797" s="31"/>
      <c r="H797" s="31"/>
    </row>
    <row r="798" spans="6:8" ht="12.75" customHeight="1" x14ac:dyDescent="0.2">
      <c r="F798" s="31"/>
      <c r="G798" s="31"/>
      <c r="H798" s="31"/>
    </row>
    <row r="799" spans="6:8" ht="12.75" customHeight="1" x14ac:dyDescent="0.2">
      <c r="F799" s="31"/>
      <c r="G799" s="31"/>
      <c r="H799" s="31"/>
    </row>
    <row r="800" spans="6:8" ht="12.75" customHeight="1" x14ac:dyDescent="0.2">
      <c r="F800" s="31"/>
      <c r="G800" s="31"/>
      <c r="H800" s="31"/>
    </row>
    <row r="801" spans="6:8" ht="12.75" customHeight="1" x14ac:dyDescent="0.2">
      <c r="F801" s="31"/>
      <c r="G801" s="31"/>
      <c r="H801" s="31"/>
    </row>
    <row r="802" spans="6:8" ht="12.75" customHeight="1" x14ac:dyDescent="0.2">
      <c r="F802" s="31"/>
      <c r="G802" s="31"/>
      <c r="H802" s="31"/>
    </row>
    <row r="803" spans="6:8" ht="12.75" customHeight="1" x14ac:dyDescent="0.2">
      <c r="F803" s="31"/>
      <c r="G803" s="31"/>
      <c r="H803" s="31"/>
    </row>
    <row r="804" spans="6:8" ht="12.75" customHeight="1" x14ac:dyDescent="0.2">
      <c r="F804" s="31"/>
      <c r="G804" s="31"/>
      <c r="H804" s="31"/>
    </row>
    <row r="805" spans="6:8" ht="12.75" customHeight="1" x14ac:dyDescent="0.2">
      <c r="F805" s="31"/>
      <c r="G805" s="31"/>
      <c r="H805" s="31"/>
    </row>
    <row r="806" spans="6:8" ht="12.75" customHeight="1" x14ac:dyDescent="0.2">
      <c r="F806" s="31"/>
      <c r="G806" s="31"/>
      <c r="H806" s="31"/>
    </row>
    <row r="807" spans="6:8" ht="12.75" customHeight="1" x14ac:dyDescent="0.2">
      <c r="F807" s="31"/>
      <c r="G807" s="31"/>
      <c r="H807" s="31"/>
    </row>
    <row r="808" spans="6:8" ht="12.75" customHeight="1" x14ac:dyDescent="0.2">
      <c r="F808" s="31"/>
      <c r="G808" s="31"/>
      <c r="H808" s="31"/>
    </row>
    <row r="809" spans="6:8" ht="12.75" customHeight="1" x14ac:dyDescent="0.2">
      <c r="F809" s="31"/>
      <c r="G809" s="31"/>
      <c r="H809" s="31"/>
    </row>
    <row r="810" spans="6:8" ht="12.75" customHeight="1" x14ac:dyDescent="0.2">
      <c r="F810" s="31"/>
      <c r="G810" s="31"/>
      <c r="H810" s="31"/>
    </row>
    <row r="811" spans="6:8" ht="12.75" customHeight="1" x14ac:dyDescent="0.2">
      <c r="F811" s="31"/>
      <c r="G811" s="31"/>
      <c r="H811" s="31"/>
    </row>
    <row r="812" spans="6:8" ht="12.75" customHeight="1" x14ac:dyDescent="0.2">
      <c r="F812" s="31"/>
      <c r="G812" s="31"/>
      <c r="H812" s="31"/>
    </row>
    <row r="813" spans="6:8" ht="12.75" customHeight="1" x14ac:dyDescent="0.2">
      <c r="F813" s="31"/>
      <c r="G813" s="31"/>
      <c r="H813" s="31"/>
    </row>
    <row r="814" spans="6:8" ht="12.75" customHeight="1" x14ac:dyDescent="0.2">
      <c r="F814" s="31"/>
      <c r="G814" s="31"/>
      <c r="H814" s="31"/>
    </row>
    <row r="815" spans="6:8" ht="12.75" customHeight="1" x14ac:dyDescent="0.2">
      <c r="F815" s="31"/>
      <c r="G815" s="31"/>
      <c r="H815" s="31"/>
    </row>
    <row r="816" spans="6:8" ht="12.75" customHeight="1" x14ac:dyDescent="0.2">
      <c r="F816" s="31"/>
      <c r="G816" s="31"/>
      <c r="H816" s="31"/>
    </row>
    <row r="817" spans="6:8" ht="12.75" customHeight="1" x14ac:dyDescent="0.2">
      <c r="F817" s="31"/>
      <c r="G817" s="31"/>
      <c r="H817" s="31"/>
    </row>
    <row r="818" spans="6:8" ht="12.75" customHeight="1" x14ac:dyDescent="0.2">
      <c r="F818" s="31"/>
      <c r="G818" s="31"/>
      <c r="H818" s="31"/>
    </row>
    <row r="819" spans="6:8" ht="12.75" customHeight="1" x14ac:dyDescent="0.2">
      <c r="F819" s="31"/>
      <c r="G819" s="31"/>
      <c r="H819" s="31"/>
    </row>
    <row r="820" spans="6:8" ht="12.75" customHeight="1" x14ac:dyDescent="0.2">
      <c r="F820" s="31"/>
      <c r="G820" s="31"/>
      <c r="H820" s="31"/>
    </row>
    <row r="821" spans="6:8" ht="12.75" customHeight="1" x14ac:dyDescent="0.2">
      <c r="F821" s="31"/>
      <c r="G821" s="31"/>
      <c r="H821" s="31"/>
    </row>
    <row r="822" spans="6:8" ht="12.75" customHeight="1" x14ac:dyDescent="0.2">
      <c r="F822" s="31"/>
      <c r="G822" s="31"/>
      <c r="H822" s="31"/>
    </row>
    <row r="823" spans="6:8" ht="12.75" customHeight="1" x14ac:dyDescent="0.2">
      <c r="F823" s="31"/>
      <c r="G823" s="31"/>
      <c r="H823" s="31"/>
    </row>
    <row r="824" spans="6:8" ht="12.75" customHeight="1" x14ac:dyDescent="0.2">
      <c r="F824" s="31"/>
      <c r="G824" s="31"/>
      <c r="H824" s="31"/>
    </row>
    <row r="825" spans="6:8" ht="12.75" customHeight="1" x14ac:dyDescent="0.2">
      <c r="F825" s="31"/>
      <c r="G825" s="31"/>
      <c r="H825" s="31"/>
    </row>
    <row r="826" spans="6:8" ht="12.75" customHeight="1" x14ac:dyDescent="0.2">
      <c r="F826" s="31"/>
      <c r="G826" s="31"/>
      <c r="H826" s="31"/>
    </row>
    <row r="827" spans="6:8" ht="12.75" customHeight="1" x14ac:dyDescent="0.2">
      <c r="F827" s="31"/>
      <c r="G827" s="31"/>
      <c r="H827" s="31"/>
    </row>
    <row r="828" spans="6:8" ht="12.75" customHeight="1" x14ac:dyDescent="0.2">
      <c r="F828" s="31"/>
      <c r="G828" s="31"/>
      <c r="H828" s="31"/>
    </row>
    <row r="829" spans="6:8" ht="12.75" customHeight="1" x14ac:dyDescent="0.2">
      <c r="F829" s="31"/>
      <c r="G829" s="31"/>
      <c r="H829" s="31"/>
    </row>
    <row r="830" spans="6:8" ht="12.75" customHeight="1" x14ac:dyDescent="0.2">
      <c r="F830" s="31"/>
      <c r="G830" s="31"/>
      <c r="H830" s="31"/>
    </row>
    <row r="831" spans="6:8" ht="12.75" customHeight="1" x14ac:dyDescent="0.2">
      <c r="F831" s="31"/>
      <c r="G831" s="31"/>
      <c r="H831" s="31"/>
    </row>
    <row r="832" spans="6:8" ht="12.75" customHeight="1" x14ac:dyDescent="0.2">
      <c r="F832" s="31"/>
      <c r="G832" s="31"/>
      <c r="H832" s="31"/>
    </row>
    <row r="833" spans="6:8" ht="12.75" customHeight="1" x14ac:dyDescent="0.2">
      <c r="F833" s="31"/>
      <c r="G833" s="31"/>
      <c r="H833" s="31"/>
    </row>
    <row r="834" spans="6:8" ht="12.75" customHeight="1" x14ac:dyDescent="0.2">
      <c r="F834" s="31"/>
      <c r="G834" s="31"/>
      <c r="H834" s="31"/>
    </row>
    <row r="835" spans="6:8" ht="12.75" customHeight="1" x14ac:dyDescent="0.2">
      <c r="F835" s="31"/>
      <c r="G835" s="31"/>
      <c r="H835" s="31"/>
    </row>
    <row r="836" spans="6:8" ht="12.75" customHeight="1" x14ac:dyDescent="0.2">
      <c r="F836" s="31"/>
      <c r="G836" s="31"/>
      <c r="H836" s="31"/>
    </row>
    <row r="837" spans="6:8" ht="12.75" customHeight="1" x14ac:dyDescent="0.2">
      <c r="F837" s="31"/>
      <c r="G837" s="31"/>
      <c r="H837" s="31"/>
    </row>
    <row r="838" spans="6:8" ht="12.75" customHeight="1" x14ac:dyDescent="0.2">
      <c r="F838" s="31"/>
      <c r="G838" s="31"/>
      <c r="H838" s="31"/>
    </row>
    <row r="839" spans="6:8" ht="12.75" customHeight="1" x14ac:dyDescent="0.2">
      <c r="F839" s="31"/>
      <c r="G839" s="31"/>
      <c r="H839" s="31"/>
    </row>
    <row r="840" spans="6:8" ht="12.75" customHeight="1" x14ac:dyDescent="0.2">
      <c r="F840" s="31"/>
      <c r="G840" s="31"/>
      <c r="H840" s="31"/>
    </row>
    <row r="841" spans="6:8" ht="12.75" customHeight="1" x14ac:dyDescent="0.2">
      <c r="F841" s="31"/>
      <c r="G841" s="31"/>
      <c r="H841" s="31"/>
    </row>
    <row r="842" spans="6:8" ht="12.75" customHeight="1" x14ac:dyDescent="0.2">
      <c r="F842" s="31"/>
      <c r="G842" s="31"/>
      <c r="H842" s="31"/>
    </row>
    <row r="843" spans="6:8" ht="12.75" customHeight="1" x14ac:dyDescent="0.2">
      <c r="F843" s="31"/>
      <c r="G843" s="31"/>
      <c r="H843" s="31"/>
    </row>
    <row r="844" spans="6:8" ht="12.75" customHeight="1" x14ac:dyDescent="0.2">
      <c r="F844" s="31"/>
      <c r="G844" s="31"/>
      <c r="H844" s="31"/>
    </row>
    <row r="845" spans="6:8" ht="12.75" customHeight="1" x14ac:dyDescent="0.2">
      <c r="F845" s="31"/>
      <c r="G845" s="31"/>
      <c r="H845" s="31"/>
    </row>
    <row r="846" spans="6:8" ht="12.75" customHeight="1" x14ac:dyDescent="0.2">
      <c r="F846" s="31"/>
      <c r="G846" s="31"/>
      <c r="H846" s="31"/>
    </row>
    <row r="847" spans="6:8" ht="12.75" customHeight="1" x14ac:dyDescent="0.2">
      <c r="F847" s="31"/>
      <c r="G847" s="31"/>
      <c r="H847" s="31"/>
    </row>
    <row r="848" spans="6:8" ht="12.75" customHeight="1" x14ac:dyDescent="0.2">
      <c r="F848" s="31"/>
      <c r="G848" s="31"/>
      <c r="H848" s="31"/>
    </row>
    <row r="849" spans="6:8" ht="12.75" customHeight="1" x14ac:dyDescent="0.2">
      <c r="F849" s="31"/>
      <c r="G849" s="31"/>
      <c r="H849" s="31"/>
    </row>
    <row r="850" spans="6:8" ht="12.75" customHeight="1" x14ac:dyDescent="0.2">
      <c r="F850" s="31"/>
      <c r="G850" s="31"/>
      <c r="H850" s="31"/>
    </row>
    <row r="851" spans="6:8" ht="12.75" customHeight="1" x14ac:dyDescent="0.2">
      <c r="F851" s="31"/>
      <c r="G851" s="31"/>
      <c r="H851" s="31"/>
    </row>
    <row r="852" spans="6:8" ht="12.75" customHeight="1" x14ac:dyDescent="0.2">
      <c r="F852" s="31"/>
      <c r="G852" s="31"/>
      <c r="H852" s="31"/>
    </row>
    <row r="853" spans="6:8" ht="12.75" customHeight="1" x14ac:dyDescent="0.2">
      <c r="F853" s="31"/>
      <c r="G853" s="31"/>
      <c r="H853" s="31"/>
    </row>
    <row r="854" spans="6:8" ht="12.75" customHeight="1" x14ac:dyDescent="0.2">
      <c r="F854" s="31"/>
      <c r="G854" s="31"/>
      <c r="H854" s="31"/>
    </row>
    <row r="855" spans="6:8" ht="12.75" customHeight="1" x14ac:dyDescent="0.2">
      <c r="F855" s="31"/>
      <c r="G855" s="31"/>
      <c r="H855" s="31"/>
    </row>
    <row r="856" spans="6:8" ht="12.75" customHeight="1" x14ac:dyDescent="0.2">
      <c r="F856" s="31"/>
      <c r="G856" s="31"/>
      <c r="H856" s="31"/>
    </row>
    <row r="857" spans="6:8" ht="12.75" customHeight="1" x14ac:dyDescent="0.2">
      <c r="F857" s="31"/>
      <c r="G857" s="31"/>
      <c r="H857" s="31"/>
    </row>
    <row r="858" spans="6:8" ht="12.75" customHeight="1" x14ac:dyDescent="0.2">
      <c r="F858" s="31"/>
      <c r="G858" s="31"/>
      <c r="H858" s="31"/>
    </row>
    <row r="859" spans="6:8" ht="12.75" customHeight="1" x14ac:dyDescent="0.2">
      <c r="F859" s="31"/>
      <c r="G859" s="31"/>
      <c r="H859" s="31"/>
    </row>
    <row r="860" spans="6:8" ht="12.75" customHeight="1" x14ac:dyDescent="0.2">
      <c r="F860" s="31"/>
      <c r="G860" s="31"/>
      <c r="H860" s="31"/>
    </row>
    <row r="861" spans="6:8" ht="12.75" customHeight="1" x14ac:dyDescent="0.2">
      <c r="F861" s="31"/>
      <c r="G861" s="31"/>
      <c r="H861" s="31"/>
    </row>
    <row r="862" spans="6:8" ht="12.75" customHeight="1" x14ac:dyDescent="0.2">
      <c r="F862" s="31"/>
      <c r="G862" s="31"/>
      <c r="H862" s="31"/>
    </row>
    <row r="863" spans="6:8" ht="12.75" customHeight="1" x14ac:dyDescent="0.2">
      <c r="F863" s="31"/>
      <c r="G863" s="31"/>
      <c r="H863" s="31"/>
    </row>
    <row r="864" spans="6:8" ht="12.75" customHeight="1" x14ac:dyDescent="0.2">
      <c r="F864" s="31"/>
      <c r="G864" s="31"/>
      <c r="H864" s="31"/>
    </row>
    <row r="865" spans="6:8" ht="12.75" customHeight="1" x14ac:dyDescent="0.2">
      <c r="F865" s="31"/>
      <c r="G865" s="31"/>
      <c r="H865" s="31"/>
    </row>
    <row r="866" spans="6:8" ht="12.75" customHeight="1" x14ac:dyDescent="0.2">
      <c r="F866" s="31"/>
      <c r="G866" s="31"/>
      <c r="H866" s="31"/>
    </row>
    <row r="867" spans="6:8" ht="12.75" customHeight="1" x14ac:dyDescent="0.2">
      <c r="F867" s="31"/>
      <c r="G867" s="31"/>
      <c r="H867" s="31"/>
    </row>
    <row r="868" spans="6:8" ht="12.75" customHeight="1" x14ac:dyDescent="0.2">
      <c r="F868" s="31"/>
      <c r="G868" s="31"/>
      <c r="H868" s="31"/>
    </row>
    <row r="869" spans="6:8" ht="12.75" customHeight="1" x14ac:dyDescent="0.2">
      <c r="F869" s="31"/>
      <c r="G869" s="31"/>
      <c r="H869" s="31"/>
    </row>
    <row r="870" spans="6:8" ht="12.75" customHeight="1" x14ac:dyDescent="0.2">
      <c r="F870" s="31"/>
      <c r="G870" s="31"/>
      <c r="H870" s="31"/>
    </row>
    <row r="871" spans="6:8" ht="12.75" customHeight="1" x14ac:dyDescent="0.2">
      <c r="F871" s="31"/>
      <c r="G871" s="31"/>
      <c r="H871" s="31"/>
    </row>
    <row r="872" spans="6:8" ht="12.75" customHeight="1" x14ac:dyDescent="0.2">
      <c r="F872" s="31"/>
      <c r="G872" s="31"/>
      <c r="H872" s="31"/>
    </row>
    <row r="873" spans="6:8" ht="12.75" customHeight="1" x14ac:dyDescent="0.2">
      <c r="F873" s="31"/>
      <c r="G873" s="31"/>
      <c r="H873" s="31"/>
    </row>
    <row r="874" spans="6:8" ht="12.75" customHeight="1" x14ac:dyDescent="0.2">
      <c r="F874" s="31"/>
      <c r="G874" s="31"/>
      <c r="H874" s="31"/>
    </row>
    <row r="875" spans="6:8" ht="12.75" customHeight="1" x14ac:dyDescent="0.2">
      <c r="F875" s="31"/>
      <c r="G875" s="31"/>
      <c r="H875" s="31"/>
    </row>
    <row r="876" spans="6:8" ht="12.75" customHeight="1" x14ac:dyDescent="0.2">
      <c r="F876" s="31"/>
      <c r="G876" s="31"/>
      <c r="H876" s="31"/>
    </row>
    <row r="877" spans="6:8" ht="12.75" customHeight="1" x14ac:dyDescent="0.2">
      <c r="F877" s="31"/>
      <c r="G877" s="31"/>
      <c r="H877" s="31"/>
    </row>
    <row r="878" spans="6:8" ht="12.75" customHeight="1" x14ac:dyDescent="0.2">
      <c r="F878" s="31"/>
      <c r="G878" s="31"/>
      <c r="H878" s="31"/>
    </row>
    <row r="879" spans="6:8" ht="12.75" customHeight="1" x14ac:dyDescent="0.2">
      <c r="F879" s="31"/>
      <c r="G879" s="31"/>
      <c r="H879" s="31"/>
    </row>
    <row r="880" spans="6:8" ht="12.75" customHeight="1" x14ac:dyDescent="0.2">
      <c r="F880" s="31"/>
      <c r="G880" s="31"/>
      <c r="H880" s="31"/>
    </row>
    <row r="881" spans="6:8" ht="12.75" customHeight="1" x14ac:dyDescent="0.2">
      <c r="F881" s="31"/>
      <c r="G881" s="31"/>
      <c r="H881" s="31"/>
    </row>
    <row r="882" spans="6:8" ht="12.75" customHeight="1" x14ac:dyDescent="0.2">
      <c r="F882" s="31"/>
      <c r="G882" s="31"/>
      <c r="H882" s="31"/>
    </row>
    <row r="883" spans="6:8" ht="12.75" customHeight="1" x14ac:dyDescent="0.2">
      <c r="F883" s="31"/>
      <c r="G883" s="31"/>
      <c r="H883" s="31"/>
    </row>
    <row r="884" spans="6:8" ht="12.75" customHeight="1" x14ac:dyDescent="0.2">
      <c r="F884" s="31"/>
      <c r="G884" s="31"/>
      <c r="H884" s="31"/>
    </row>
    <row r="885" spans="6:8" ht="12.75" customHeight="1" x14ac:dyDescent="0.2">
      <c r="F885" s="31"/>
      <c r="G885" s="31"/>
      <c r="H885" s="31"/>
    </row>
    <row r="886" spans="6:8" ht="12.75" customHeight="1" x14ac:dyDescent="0.2">
      <c r="F886" s="31"/>
      <c r="G886" s="31"/>
      <c r="H886" s="31"/>
    </row>
    <row r="887" spans="6:8" ht="12.75" customHeight="1" x14ac:dyDescent="0.2">
      <c r="F887" s="31"/>
      <c r="G887" s="31"/>
      <c r="H887" s="31"/>
    </row>
    <row r="888" spans="6:8" ht="12.75" customHeight="1" x14ac:dyDescent="0.2">
      <c r="F888" s="31"/>
      <c r="G888" s="31"/>
      <c r="H888" s="31"/>
    </row>
    <row r="889" spans="6:8" ht="12.75" customHeight="1" x14ac:dyDescent="0.2">
      <c r="F889" s="31"/>
      <c r="G889" s="31"/>
      <c r="H889" s="31"/>
    </row>
    <row r="890" spans="6:8" ht="12.75" customHeight="1" x14ac:dyDescent="0.2">
      <c r="F890" s="31"/>
      <c r="G890" s="31"/>
      <c r="H890" s="31"/>
    </row>
    <row r="891" spans="6:8" ht="12.75" customHeight="1" x14ac:dyDescent="0.2">
      <c r="F891" s="31"/>
      <c r="G891" s="31"/>
      <c r="H891" s="31"/>
    </row>
    <row r="892" spans="6:8" ht="12.75" customHeight="1" x14ac:dyDescent="0.2">
      <c r="F892" s="31"/>
      <c r="G892" s="31"/>
      <c r="H892" s="31"/>
    </row>
    <row r="893" spans="6:8" ht="12.75" customHeight="1" x14ac:dyDescent="0.2">
      <c r="F893" s="31"/>
      <c r="G893" s="31"/>
      <c r="H893" s="31"/>
    </row>
    <row r="894" spans="6:8" ht="12.75" customHeight="1" x14ac:dyDescent="0.2">
      <c r="F894" s="31"/>
      <c r="G894" s="31"/>
      <c r="H894" s="31"/>
    </row>
    <row r="895" spans="6:8" ht="12.75" customHeight="1" x14ac:dyDescent="0.2">
      <c r="F895" s="31"/>
      <c r="G895" s="31"/>
      <c r="H895" s="31"/>
    </row>
    <row r="896" spans="6:8" ht="12.75" customHeight="1" x14ac:dyDescent="0.2">
      <c r="F896" s="31"/>
      <c r="G896" s="31"/>
      <c r="H896" s="31"/>
    </row>
    <row r="897" spans="6:8" ht="12.75" customHeight="1" x14ac:dyDescent="0.2">
      <c r="F897" s="31"/>
      <c r="G897" s="31"/>
      <c r="H897" s="31"/>
    </row>
    <row r="898" spans="6:8" ht="12.75" customHeight="1" x14ac:dyDescent="0.2">
      <c r="F898" s="31"/>
      <c r="G898" s="31"/>
      <c r="H898" s="31"/>
    </row>
    <row r="899" spans="6:8" ht="12.75" customHeight="1" x14ac:dyDescent="0.2">
      <c r="F899" s="31"/>
      <c r="G899" s="31"/>
      <c r="H899" s="31"/>
    </row>
    <row r="900" spans="6:8" ht="12.75" customHeight="1" x14ac:dyDescent="0.2">
      <c r="F900" s="31"/>
      <c r="G900" s="31"/>
      <c r="H900" s="31"/>
    </row>
    <row r="901" spans="6:8" ht="12.75" customHeight="1" x14ac:dyDescent="0.2">
      <c r="F901" s="31"/>
      <c r="G901" s="31"/>
      <c r="H901" s="31"/>
    </row>
    <row r="902" spans="6:8" ht="12.75" customHeight="1" x14ac:dyDescent="0.2">
      <c r="F902" s="31"/>
      <c r="G902" s="31"/>
      <c r="H902" s="31"/>
    </row>
    <row r="903" spans="6:8" ht="12.75" customHeight="1" x14ac:dyDescent="0.2">
      <c r="F903" s="31"/>
      <c r="G903" s="31"/>
      <c r="H903" s="31"/>
    </row>
    <row r="904" spans="6:8" ht="12.75" customHeight="1" x14ac:dyDescent="0.2">
      <c r="F904" s="31"/>
      <c r="G904" s="31"/>
      <c r="H904" s="31"/>
    </row>
    <row r="905" spans="6:8" ht="12.75" customHeight="1" x14ac:dyDescent="0.2">
      <c r="F905" s="31"/>
      <c r="G905" s="31"/>
      <c r="H905" s="31"/>
    </row>
    <row r="906" spans="6:8" ht="12.75" customHeight="1" x14ac:dyDescent="0.2">
      <c r="F906" s="31"/>
      <c r="G906" s="31"/>
      <c r="H906" s="31"/>
    </row>
    <row r="907" spans="6:8" ht="12.75" customHeight="1" x14ac:dyDescent="0.2">
      <c r="F907" s="31"/>
      <c r="G907" s="31"/>
      <c r="H907" s="31"/>
    </row>
    <row r="908" spans="6:8" ht="12.75" customHeight="1" x14ac:dyDescent="0.2">
      <c r="F908" s="31"/>
      <c r="G908" s="31"/>
      <c r="H908" s="31"/>
    </row>
    <row r="909" spans="6:8" ht="12.75" customHeight="1" x14ac:dyDescent="0.2">
      <c r="F909" s="31"/>
      <c r="G909" s="31"/>
      <c r="H909" s="31"/>
    </row>
    <row r="910" spans="6:8" ht="12.75" customHeight="1" x14ac:dyDescent="0.2">
      <c r="F910" s="31"/>
      <c r="G910" s="31"/>
      <c r="H910" s="31"/>
    </row>
    <row r="911" spans="6:8" ht="12.75" customHeight="1" x14ac:dyDescent="0.2">
      <c r="F911" s="31"/>
      <c r="G911" s="31"/>
      <c r="H911" s="31"/>
    </row>
    <row r="912" spans="6:8" ht="12.75" customHeight="1" x14ac:dyDescent="0.2">
      <c r="F912" s="31"/>
      <c r="G912" s="31"/>
      <c r="H912" s="31"/>
    </row>
    <row r="913" spans="6:8" ht="12.75" customHeight="1" x14ac:dyDescent="0.2">
      <c r="F913" s="31"/>
      <c r="G913" s="31"/>
      <c r="H913" s="31"/>
    </row>
    <row r="914" spans="6:8" ht="12.75" customHeight="1" x14ac:dyDescent="0.2">
      <c r="F914" s="31"/>
      <c r="G914" s="31"/>
      <c r="H914" s="31"/>
    </row>
    <row r="915" spans="6:8" ht="12.75" customHeight="1" x14ac:dyDescent="0.2">
      <c r="F915" s="31"/>
      <c r="G915" s="31"/>
      <c r="H915" s="31"/>
    </row>
    <row r="916" spans="6:8" ht="12.75" customHeight="1" x14ac:dyDescent="0.2">
      <c r="F916" s="31"/>
      <c r="G916" s="31"/>
      <c r="H916" s="31"/>
    </row>
    <row r="917" spans="6:8" ht="12.75" customHeight="1" x14ac:dyDescent="0.2">
      <c r="F917" s="31"/>
      <c r="G917" s="31"/>
      <c r="H917" s="31"/>
    </row>
    <row r="918" spans="6:8" ht="12.75" customHeight="1" x14ac:dyDescent="0.2">
      <c r="F918" s="31"/>
      <c r="G918" s="31"/>
      <c r="H918" s="31"/>
    </row>
    <row r="919" spans="6:8" ht="12.75" customHeight="1" x14ac:dyDescent="0.2">
      <c r="F919" s="31"/>
      <c r="G919" s="31"/>
      <c r="H919" s="31"/>
    </row>
    <row r="920" spans="6:8" ht="12.75" customHeight="1" x14ac:dyDescent="0.2">
      <c r="F920" s="31"/>
      <c r="G920" s="31"/>
      <c r="H920" s="31"/>
    </row>
    <row r="921" spans="6:8" ht="12.75" customHeight="1" x14ac:dyDescent="0.2">
      <c r="F921" s="31"/>
      <c r="G921" s="31"/>
      <c r="H921" s="31"/>
    </row>
    <row r="922" spans="6:8" ht="12.75" customHeight="1" x14ac:dyDescent="0.2">
      <c r="F922" s="31"/>
      <c r="G922" s="31"/>
      <c r="H922" s="31"/>
    </row>
    <row r="923" spans="6:8" ht="12.75" customHeight="1" x14ac:dyDescent="0.2">
      <c r="F923" s="31"/>
      <c r="G923" s="31"/>
      <c r="H923" s="31"/>
    </row>
    <row r="924" spans="6:8" ht="12.75" customHeight="1" x14ac:dyDescent="0.2">
      <c r="F924" s="31"/>
      <c r="G924" s="31"/>
      <c r="H924" s="31"/>
    </row>
    <row r="925" spans="6:8" ht="12.75" customHeight="1" x14ac:dyDescent="0.2">
      <c r="F925" s="31"/>
      <c r="G925" s="31"/>
      <c r="H925" s="31"/>
    </row>
    <row r="926" spans="6:8" ht="12.75" customHeight="1" x14ac:dyDescent="0.2">
      <c r="F926" s="31"/>
      <c r="G926" s="31"/>
      <c r="H926" s="31"/>
    </row>
    <row r="927" spans="6:8" ht="12.75" customHeight="1" x14ac:dyDescent="0.2">
      <c r="F927" s="31"/>
      <c r="G927" s="31"/>
      <c r="H927" s="31"/>
    </row>
    <row r="928" spans="6:8" ht="12.75" customHeight="1" x14ac:dyDescent="0.2">
      <c r="F928" s="31"/>
      <c r="G928" s="31"/>
      <c r="H928" s="31"/>
    </row>
    <row r="929" spans="6:8" ht="12.75" customHeight="1" x14ac:dyDescent="0.2">
      <c r="F929" s="31"/>
      <c r="G929" s="31"/>
      <c r="H929" s="31"/>
    </row>
    <row r="930" spans="6:8" ht="12.75" customHeight="1" x14ac:dyDescent="0.2">
      <c r="F930" s="31"/>
      <c r="G930" s="31"/>
      <c r="H930" s="31"/>
    </row>
    <row r="931" spans="6:8" ht="12.75" customHeight="1" x14ac:dyDescent="0.2">
      <c r="F931" s="31"/>
      <c r="G931" s="31"/>
      <c r="H931" s="31"/>
    </row>
    <row r="932" spans="6:8" ht="12.75" customHeight="1" x14ac:dyDescent="0.2">
      <c r="F932" s="31"/>
      <c r="G932" s="31"/>
      <c r="H932" s="31"/>
    </row>
    <row r="933" spans="6:8" ht="12.75" customHeight="1" x14ac:dyDescent="0.2">
      <c r="F933" s="31"/>
      <c r="G933" s="31"/>
      <c r="H933" s="31"/>
    </row>
    <row r="934" spans="6:8" ht="12.75" customHeight="1" x14ac:dyDescent="0.2">
      <c r="F934" s="31"/>
      <c r="G934" s="31"/>
      <c r="H934" s="31"/>
    </row>
    <row r="935" spans="6:8" ht="12.75" customHeight="1" x14ac:dyDescent="0.2">
      <c r="F935" s="31"/>
      <c r="G935" s="31"/>
      <c r="H935" s="31"/>
    </row>
    <row r="936" spans="6:8" ht="12.75" customHeight="1" x14ac:dyDescent="0.2">
      <c r="F936" s="31"/>
      <c r="G936" s="31"/>
      <c r="H936" s="31"/>
    </row>
    <row r="937" spans="6:8" ht="12.75" customHeight="1" x14ac:dyDescent="0.2">
      <c r="F937" s="31"/>
      <c r="G937" s="31"/>
      <c r="H937" s="31"/>
    </row>
    <row r="938" spans="6:8" ht="12.75" customHeight="1" x14ac:dyDescent="0.2">
      <c r="F938" s="31"/>
      <c r="G938" s="31"/>
      <c r="H938" s="31"/>
    </row>
    <row r="939" spans="6:8" ht="12.75" customHeight="1" x14ac:dyDescent="0.2">
      <c r="F939" s="31"/>
      <c r="G939" s="31"/>
      <c r="H939" s="31"/>
    </row>
    <row r="940" spans="6:8" ht="12.75" customHeight="1" x14ac:dyDescent="0.2">
      <c r="F940" s="31"/>
      <c r="G940" s="31"/>
      <c r="H940" s="31"/>
    </row>
    <row r="941" spans="6:8" ht="12.75" customHeight="1" x14ac:dyDescent="0.2">
      <c r="F941" s="31"/>
      <c r="G941" s="31"/>
      <c r="H941" s="31"/>
    </row>
    <row r="942" spans="6:8" ht="12.75" customHeight="1" x14ac:dyDescent="0.2">
      <c r="F942" s="31"/>
      <c r="G942" s="31"/>
      <c r="H942" s="31"/>
    </row>
    <row r="943" spans="6:8" ht="12.75" customHeight="1" x14ac:dyDescent="0.2">
      <c r="F943" s="31"/>
      <c r="G943" s="31"/>
      <c r="H943" s="31"/>
    </row>
    <row r="944" spans="6:8" ht="12.75" customHeight="1" x14ac:dyDescent="0.2">
      <c r="F944" s="31"/>
      <c r="G944" s="31"/>
      <c r="H944" s="31"/>
    </row>
    <row r="945" spans="6:8" ht="12.75" customHeight="1" x14ac:dyDescent="0.2">
      <c r="F945" s="31"/>
      <c r="G945" s="31"/>
      <c r="H945" s="31"/>
    </row>
    <row r="946" spans="6:8" ht="12.75" customHeight="1" x14ac:dyDescent="0.2">
      <c r="F946" s="31"/>
      <c r="G946" s="31"/>
      <c r="H946" s="31"/>
    </row>
    <row r="947" spans="6:8" ht="12.75" customHeight="1" x14ac:dyDescent="0.2">
      <c r="F947" s="31"/>
      <c r="G947" s="31"/>
      <c r="H947" s="31"/>
    </row>
    <row r="948" spans="6:8" ht="12.75" customHeight="1" x14ac:dyDescent="0.2">
      <c r="F948" s="31"/>
      <c r="G948" s="31"/>
      <c r="H948" s="31"/>
    </row>
    <row r="949" spans="6:8" ht="12.75" customHeight="1" x14ac:dyDescent="0.2">
      <c r="F949" s="31"/>
      <c r="G949" s="31"/>
      <c r="H949" s="31"/>
    </row>
    <row r="950" spans="6:8" ht="12.75" customHeight="1" x14ac:dyDescent="0.2">
      <c r="F950" s="31"/>
      <c r="G950" s="31"/>
      <c r="H950" s="31"/>
    </row>
    <row r="951" spans="6:8" ht="12.75" customHeight="1" x14ac:dyDescent="0.2">
      <c r="F951" s="31"/>
      <c r="G951" s="31"/>
      <c r="H951" s="31"/>
    </row>
    <row r="952" spans="6:8" ht="12.75" customHeight="1" x14ac:dyDescent="0.2">
      <c r="F952" s="31"/>
      <c r="G952" s="31"/>
      <c r="H952" s="31"/>
    </row>
    <row r="953" spans="6:8" ht="12.75" customHeight="1" x14ac:dyDescent="0.2">
      <c r="F953" s="31"/>
      <c r="G953" s="31"/>
      <c r="H953" s="31"/>
    </row>
    <row r="954" spans="6:8" ht="12.75" customHeight="1" x14ac:dyDescent="0.2">
      <c r="F954" s="31"/>
      <c r="G954" s="31"/>
      <c r="H954" s="31"/>
    </row>
    <row r="955" spans="6:8" ht="12.75" customHeight="1" x14ac:dyDescent="0.2">
      <c r="F955" s="31"/>
      <c r="G955" s="31"/>
      <c r="H955" s="31"/>
    </row>
    <row r="956" spans="6:8" ht="12.75" customHeight="1" x14ac:dyDescent="0.2">
      <c r="F956" s="31"/>
      <c r="G956" s="31"/>
      <c r="H956" s="31"/>
    </row>
    <row r="957" spans="6:8" ht="12.75" customHeight="1" x14ac:dyDescent="0.2">
      <c r="F957" s="31"/>
      <c r="G957" s="31"/>
      <c r="H957" s="31"/>
    </row>
    <row r="958" spans="6:8" ht="12.75" customHeight="1" x14ac:dyDescent="0.2">
      <c r="F958" s="31"/>
      <c r="G958" s="31"/>
      <c r="H958" s="31"/>
    </row>
    <row r="959" spans="6:8" ht="12.75" customHeight="1" x14ac:dyDescent="0.2">
      <c r="F959" s="31"/>
      <c r="G959" s="31"/>
      <c r="H959" s="31"/>
    </row>
    <row r="960" spans="6:8" ht="12.75" customHeight="1" x14ac:dyDescent="0.2">
      <c r="F960" s="31"/>
      <c r="G960" s="31"/>
      <c r="H960" s="31"/>
    </row>
    <row r="961" spans="6:8" ht="12.75" customHeight="1" x14ac:dyDescent="0.2">
      <c r="F961" s="31"/>
      <c r="G961" s="31"/>
      <c r="H961" s="31"/>
    </row>
    <row r="962" spans="6:8" ht="12.75" customHeight="1" x14ac:dyDescent="0.2">
      <c r="F962" s="31"/>
      <c r="G962" s="31"/>
      <c r="H962" s="31"/>
    </row>
    <row r="963" spans="6:8" ht="12.75" customHeight="1" x14ac:dyDescent="0.2">
      <c r="F963" s="31"/>
      <c r="G963" s="31"/>
      <c r="H963" s="31"/>
    </row>
    <row r="964" spans="6:8" ht="12.75" customHeight="1" x14ac:dyDescent="0.2">
      <c r="F964" s="31"/>
      <c r="G964" s="31"/>
      <c r="H964" s="31"/>
    </row>
    <row r="965" spans="6:8" ht="12.75" customHeight="1" x14ac:dyDescent="0.2">
      <c r="F965" s="31"/>
      <c r="G965" s="31"/>
      <c r="H965" s="31"/>
    </row>
    <row r="966" spans="6:8" ht="12.75" customHeight="1" x14ac:dyDescent="0.2">
      <c r="F966" s="31"/>
      <c r="G966" s="31"/>
      <c r="H966" s="31"/>
    </row>
    <row r="967" spans="6:8" ht="12.75" customHeight="1" x14ac:dyDescent="0.2">
      <c r="F967" s="31"/>
      <c r="G967" s="31"/>
      <c r="H967" s="31"/>
    </row>
    <row r="968" spans="6:8" ht="12.75" customHeight="1" x14ac:dyDescent="0.2">
      <c r="F968" s="31"/>
      <c r="G968" s="31"/>
      <c r="H968" s="31"/>
    </row>
    <row r="969" spans="6:8" ht="12.75" customHeight="1" x14ac:dyDescent="0.2">
      <c r="F969" s="31"/>
      <c r="G969" s="31"/>
      <c r="H969" s="31"/>
    </row>
    <row r="970" spans="6:8" ht="12.75" customHeight="1" x14ac:dyDescent="0.2">
      <c r="F970" s="31"/>
      <c r="G970" s="31"/>
      <c r="H970" s="31"/>
    </row>
    <row r="971" spans="6:8" ht="12.75" customHeight="1" x14ac:dyDescent="0.2">
      <c r="F971" s="31"/>
      <c r="G971" s="31"/>
      <c r="H971" s="31"/>
    </row>
    <row r="972" spans="6:8" ht="12.75" customHeight="1" x14ac:dyDescent="0.2">
      <c r="F972" s="31"/>
      <c r="G972" s="31"/>
      <c r="H972" s="31"/>
    </row>
    <row r="973" spans="6:8" ht="12.75" customHeight="1" x14ac:dyDescent="0.2">
      <c r="F973" s="31"/>
      <c r="G973" s="31"/>
      <c r="H973" s="31"/>
    </row>
    <row r="974" spans="6:8" ht="12.75" customHeight="1" x14ac:dyDescent="0.2">
      <c r="F974" s="31"/>
      <c r="G974" s="31"/>
      <c r="H974" s="31"/>
    </row>
    <row r="975" spans="6:8" ht="12.75" customHeight="1" x14ac:dyDescent="0.2">
      <c r="F975" s="31"/>
      <c r="G975" s="31"/>
      <c r="H975" s="31"/>
    </row>
    <row r="976" spans="6:8" ht="12.75" customHeight="1" x14ac:dyDescent="0.2">
      <c r="F976" s="31"/>
      <c r="G976" s="31"/>
      <c r="H976" s="31"/>
    </row>
    <row r="977" spans="6:8" ht="12.75" customHeight="1" x14ac:dyDescent="0.2">
      <c r="F977" s="31"/>
      <c r="G977" s="31"/>
      <c r="H977" s="31"/>
    </row>
    <row r="978" spans="6:8" ht="12.75" customHeight="1" x14ac:dyDescent="0.2">
      <c r="F978" s="31"/>
      <c r="G978" s="31"/>
      <c r="H978" s="31"/>
    </row>
    <row r="979" spans="6:8" ht="12.75" customHeight="1" x14ac:dyDescent="0.2">
      <c r="F979" s="31"/>
      <c r="G979" s="31"/>
      <c r="H979" s="31"/>
    </row>
    <row r="980" spans="6:8" ht="12.75" customHeight="1" x14ac:dyDescent="0.2">
      <c r="F980" s="31"/>
      <c r="G980" s="31"/>
      <c r="H980" s="31"/>
    </row>
    <row r="981" spans="6:8" ht="12.75" customHeight="1" x14ac:dyDescent="0.2">
      <c r="F981" s="31"/>
      <c r="G981" s="31"/>
      <c r="H981" s="31"/>
    </row>
    <row r="982" spans="6:8" ht="12.75" customHeight="1" x14ac:dyDescent="0.2">
      <c r="F982" s="31"/>
      <c r="G982" s="31"/>
      <c r="H982" s="31"/>
    </row>
    <row r="983" spans="6:8" ht="12.75" customHeight="1" x14ac:dyDescent="0.2">
      <c r="F983" s="31"/>
      <c r="G983" s="31"/>
      <c r="H983" s="31"/>
    </row>
    <row r="984" spans="6:8" ht="12.75" customHeight="1" x14ac:dyDescent="0.2">
      <c r="F984" s="31"/>
      <c r="G984" s="31"/>
      <c r="H984" s="31"/>
    </row>
    <row r="985" spans="6:8" ht="12.75" customHeight="1" x14ac:dyDescent="0.2">
      <c r="F985" s="31"/>
      <c r="G985" s="31"/>
      <c r="H985" s="31"/>
    </row>
    <row r="986" spans="6:8" ht="12.75" customHeight="1" x14ac:dyDescent="0.2">
      <c r="F986" s="31"/>
      <c r="G986" s="31"/>
      <c r="H986" s="31"/>
    </row>
    <row r="987" spans="6:8" ht="12.75" customHeight="1" x14ac:dyDescent="0.2">
      <c r="F987" s="31"/>
      <c r="G987" s="31"/>
      <c r="H987" s="31"/>
    </row>
    <row r="988" spans="6:8" ht="12.75" customHeight="1" x14ac:dyDescent="0.2">
      <c r="F988" s="31"/>
      <c r="G988" s="31"/>
      <c r="H988" s="31"/>
    </row>
    <row r="989" spans="6:8" ht="12.75" customHeight="1" x14ac:dyDescent="0.2">
      <c r="F989" s="31"/>
      <c r="G989" s="31"/>
      <c r="H989" s="31"/>
    </row>
    <row r="990" spans="6:8" ht="12.75" customHeight="1" x14ac:dyDescent="0.2">
      <c r="F990" s="31"/>
      <c r="G990" s="31"/>
      <c r="H990" s="31"/>
    </row>
    <row r="991" spans="6:8" ht="12.75" customHeight="1" x14ac:dyDescent="0.2">
      <c r="F991" s="31"/>
      <c r="G991" s="31"/>
      <c r="H991" s="31"/>
    </row>
    <row r="992" spans="6:8" ht="12.75" customHeight="1" x14ac:dyDescent="0.2">
      <c r="F992" s="31"/>
      <c r="G992" s="31"/>
      <c r="H992" s="31"/>
    </row>
    <row r="993" spans="6:8" ht="12.75" customHeight="1" x14ac:dyDescent="0.2">
      <c r="F993" s="31"/>
      <c r="G993" s="31"/>
      <c r="H993" s="31"/>
    </row>
    <row r="994" spans="6:8" ht="12.75" customHeight="1" x14ac:dyDescent="0.2">
      <c r="F994" s="31"/>
      <c r="G994" s="31"/>
      <c r="H994" s="31"/>
    </row>
    <row r="995" spans="6:8" ht="12.75" customHeight="1" x14ac:dyDescent="0.2">
      <c r="F995" s="31"/>
      <c r="G995" s="31"/>
      <c r="H995" s="31"/>
    </row>
    <row r="996" spans="6:8" ht="12.75" customHeight="1" x14ac:dyDescent="0.2">
      <c r="F996" s="31"/>
      <c r="G996" s="31"/>
      <c r="H996" s="31"/>
    </row>
    <row r="997" spans="6:8" ht="12.75" customHeight="1" x14ac:dyDescent="0.2">
      <c r="F997" s="31"/>
      <c r="G997" s="31"/>
      <c r="H997" s="31"/>
    </row>
    <row r="998" spans="6:8" ht="12.75" customHeight="1" x14ac:dyDescent="0.2">
      <c r="F998" s="31"/>
      <c r="G998" s="31"/>
      <c r="H998" s="31"/>
    </row>
    <row r="999" spans="6:8" ht="12.75" customHeight="1" x14ac:dyDescent="0.2">
      <c r="F999" s="31"/>
      <c r="G999" s="31"/>
      <c r="H999" s="31"/>
    </row>
    <row r="1000" spans="6:8" ht="12.75" customHeight="1" x14ac:dyDescent="0.2">
      <c r="F1000" s="31"/>
      <c r="G1000" s="31"/>
      <c r="H1000" s="31"/>
    </row>
  </sheetData>
  <phoneticPr fontId="9" type="noConversion"/>
  <dataValidations disablePrompts="1" count="1">
    <dataValidation type="list" allowBlank="1" showErrorMessage="1" sqref="F1" xr:uid="{00000000-0002-0000-0600-000001000000}">
      <formula1>Years</formula1>
    </dataValidation>
  </dataValidations>
  <pageMargins left="0.75" right="0.75" top="1" bottom="1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1002"/>
  <sheetViews>
    <sheetView workbookViewId="0">
      <pane xSplit="2" ySplit="4" topLeftCell="C100" activePane="bottomRight" state="frozen"/>
      <selection activeCell="C2" sqref="C2"/>
      <selection pane="topRight" activeCell="C2" sqref="C2"/>
      <selection pane="bottomLeft" activeCell="C2" sqref="C2"/>
      <selection pane="bottomRight" activeCell="L4" sqref="L4"/>
    </sheetView>
  </sheetViews>
  <sheetFormatPr defaultColWidth="12.5703125" defaultRowHeight="15" customHeight="1" x14ac:dyDescent="0.2"/>
  <cols>
    <col min="1" max="1" width="6.140625" customWidth="1"/>
    <col min="2" max="2" width="7.5703125" customWidth="1"/>
    <col min="3" max="3" width="9.42578125" customWidth="1"/>
    <col min="4" max="4" width="10.5703125" style="74" customWidth="1"/>
    <col min="5" max="5" width="36.28515625" customWidth="1"/>
    <col min="6" max="6" width="13.42578125" customWidth="1"/>
    <col min="7" max="8" width="14.7109375" customWidth="1"/>
    <col min="9" max="9" width="14.140625" bestFit="1" customWidth="1"/>
    <col min="10" max="10" width="14.42578125" customWidth="1"/>
    <col min="11" max="11" width="11" customWidth="1"/>
    <col min="12" max="12" width="15.140625" customWidth="1"/>
    <col min="13" max="13" width="11.85546875" customWidth="1"/>
    <col min="14" max="14" width="16.7109375" customWidth="1"/>
    <col min="15" max="16" width="11.28515625" customWidth="1"/>
    <col min="17" max="26" width="8.5703125" customWidth="1"/>
  </cols>
  <sheetData>
    <row r="1" spans="1:26" ht="12.75" customHeight="1" x14ac:dyDescent="0.2">
      <c r="A1" s="43"/>
      <c r="B1" s="43"/>
      <c r="D1" s="78" t="s">
        <v>107</v>
      </c>
      <c r="E1" s="50" t="s">
        <v>116</v>
      </c>
      <c r="F1" s="40"/>
      <c r="G1" s="40" t="s">
        <v>104</v>
      </c>
      <c r="H1" s="41"/>
      <c r="I1" s="40"/>
      <c r="J1" s="40"/>
      <c r="K1" s="49"/>
      <c r="L1" s="33"/>
    </row>
    <row r="2" spans="1:26" ht="12.75" customHeight="1" x14ac:dyDescent="0.2">
      <c r="A2" s="43"/>
      <c r="B2" s="43"/>
      <c r="C2" s="43"/>
      <c r="D2" s="71" t="s">
        <v>114</v>
      </c>
      <c r="E2" s="50" t="s">
        <v>112</v>
      </c>
      <c r="F2" s="44"/>
      <c r="G2" s="40">
        <v>3</v>
      </c>
      <c r="H2" s="41"/>
      <c r="I2" s="40" t="s">
        <v>41</v>
      </c>
      <c r="J2" s="40" t="s">
        <v>712</v>
      </c>
      <c r="K2" s="50" t="s">
        <v>50</v>
      </c>
      <c r="L2" s="50" t="s">
        <v>704</v>
      </c>
    </row>
    <row r="3" spans="1:26" ht="12.75" customHeight="1" x14ac:dyDescent="0.25">
      <c r="A3" s="45">
        <f>COUNTIF(A5:A65392, "&lt;&gt;")</f>
        <v>107</v>
      </c>
      <c r="B3" s="43">
        <f>MAX(B5:B852)</f>
        <v>2022</v>
      </c>
      <c r="C3" s="43"/>
      <c r="D3" s="83" t="str" cm="1">
        <f t="array" ref="D3">INDEX(D5:D65433, A3)</f>
        <v>4/5/2021</v>
      </c>
      <c r="E3" s="59"/>
      <c r="F3" s="84"/>
      <c r="G3" s="85" t="s">
        <v>40</v>
      </c>
      <c r="H3" s="85" cm="1">
        <f t="array" ref="H3">INDEX(H5:H65433, A3)</f>
        <v>0</v>
      </c>
      <c r="I3" s="86">
        <v>44986</v>
      </c>
      <c r="J3" s="64">
        <v>5</v>
      </c>
      <c r="K3" s="92">
        <v>35</v>
      </c>
      <c r="L3" s="92">
        <v>3100</v>
      </c>
      <c r="M3" s="43"/>
    </row>
    <row r="4" spans="1:26" ht="12.75" customHeight="1" x14ac:dyDescent="0.2">
      <c r="A4" s="38" t="s">
        <v>42</v>
      </c>
      <c r="B4" s="38" t="s">
        <v>10</v>
      </c>
      <c r="C4" s="38" t="s">
        <v>54</v>
      </c>
      <c r="D4" s="72" t="s">
        <v>43</v>
      </c>
      <c r="E4" s="38" t="s">
        <v>44</v>
      </c>
      <c r="F4" s="42" t="s">
        <v>45</v>
      </c>
      <c r="G4" s="42" t="s">
        <v>46</v>
      </c>
      <c r="H4" s="55" t="s">
        <v>47</v>
      </c>
      <c r="I4" s="67" t="s">
        <v>676</v>
      </c>
      <c r="J4" s="53"/>
      <c r="K4" s="53"/>
      <c r="L4" s="54"/>
      <c r="M4" s="49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</row>
    <row r="5" spans="1:26" ht="12.75" customHeight="1" x14ac:dyDescent="0.2">
      <c r="A5" s="40">
        <v>2</v>
      </c>
      <c r="B5" s="40">
        <v>2020</v>
      </c>
      <c r="C5" s="40" t="str">
        <f t="shared" ref="C5:C36" si="0">IFERROR("Late Fee "&amp;FIND("Late Fee",E5),IFERROR("Internet "&amp;FIND("Internet",E5),IFERROR("Utilities "&amp;FIND("Utilities",E5),IFERROR("Rent: "&amp;FIND("Rent",E5),IFERROR("Priv Tax: "&amp;FIND("Tax",E5),IFERROR("Income: "&amp;FIND("Payment",E5,1),""))))))</f>
        <v>Rent: 1</v>
      </c>
      <c r="D5" s="77" t="s">
        <v>455</v>
      </c>
      <c r="E5" s="40" t="s">
        <v>129</v>
      </c>
      <c r="F5" s="41">
        <v>0</v>
      </c>
      <c r="G5" s="41">
        <v>3200</v>
      </c>
      <c r="H5" s="41">
        <f xml:space="preserve"> G5 - F5</f>
        <v>3200</v>
      </c>
      <c r="I5" s="43">
        <v>3193</v>
      </c>
      <c r="J5" s="43"/>
      <c r="K5" s="43"/>
      <c r="L5" s="43"/>
      <c r="M5" s="43"/>
    </row>
    <row r="6" spans="1:26" ht="12.75" customHeight="1" x14ac:dyDescent="0.2">
      <c r="A6" s="40">
        <v>2</v>
      </c>
      <c r="B6" s="40">
        <v>2020</v>
      </c>
      <c r="C6" s="40" t="str">
        <f t="shared" si="0"/>
        <v>Income: 1</v>
      </c>
      <c r="D6" s="77" t="s">
        <v>456</v>
      </c>
      <c r="E6" s="40" t="s">
        <v>49</v>
      </c>
      <c r="F6" s="41">
        <v>1000</v>
      </c>
      <c r="G6" s="41">
        <v>0</v>
      </c>
      <c r="H6" s="41">
        <f t="shared" ref="H6:H37" si="1" xml:space="preserve"> H5 + G6 - F6</f>
        <v>2200</v>
      </c>
      <c r="I6" s="43">
        <v>3194</v>
      </c>
      <c r="J6" s="43"/>
      <c r="K6" s="44"/>
      <c r="L6" s="40"/>
      <c r="M6" s="43"/>
    </row>
    <row r="7" spans="1:26" ht="12.75" customHeight="1" x14ac:dyDescent="0.25">
      <c r="A7" s="40">
        <v>4</v>
      </c>
      <c r="B7" s="40">
        <v>2021</v>
      </c>
      <c r="C7" s="40" t="str">
        <f t="shared" si="0"/>
        <v>Income: 1</v>
      </c>
      <c r="D7" s="77" t="s">
        <v>457</v>
      </c>
      <c r="E7" s="56" t="s">
        <v>49</v>
      </c>
      <c r="F7" s="41">
        <v>1000</v>
      </c>
      <c r="G7" s="41">
        <v>0</v>
      </c>
      <c r="H7" s="41">
        <f t="shared" si="1"/>
        <v>1200</v>
      </c>
      <c r="I7" s="43">
        <v>3237</v>
      </c>
      <c r="J7" s="43"/>
      <c r="K7" s="44"/>
      <c r="L7" s="40"/>
      <c r="M7" s="44"/>
    </row>
    <row r="8" spans="1:26" ht="12.75" customHeight="1" x14ac:dyDescent="0.2">
      <c r="A8" s="40">
        <v>5</v>
      </c>
      <c r="B8" s="40">
        <v>2021</v>
      </c>
      <c r="C8" s="40" t="str">
        <f t="shared" si="0"/>
        <v>Rent: 1</v>
      </c>
      <c r="D8" s="77" t="s">
        <v>409</v>
      </c>
      <c r="E8" s="40" t="s">
        <v>172</v>
      </c>
      <c r="F8" s="41">
        <v>0</v>
      </c>
      <c r="G8" s="41">
        <v>3100</v>
      </c>
      <c r="H8" s="41">
        <f t="shared" si="1"/>
        <v>4300</v>
      </c>
      <c r="I8" s="43">
        <v>3238</v>
      </c>
      <c r="J8" s="43"/>
      <c r="K8" s="44"/>
      <c r="L8" s="43"/>
      <c r="M8" s="44"/>
    </row>
    <row r="9" spans="1:26" ht="12.75" customHeight="1" x14ac:dyDescent="0.2">
      <c r="A9" s="40">
        <v>5</v>
      </c>
      <c r="B9" s="40">
        <v>2021</v>
      </c>
      <c r="C9" s="40" t="str">
        <f t="shared" si="0"/>
        <v>Income: 1</v>
      </c>
      <c r="D9" s="77" t="s">
        <v>173</v>
      </c>
      <c r="E9" s="40" t="s">
        <v>49</v>
      </c>
      <c r="F9" s="41">
        <v>2000</v>
      </c>
      <c r="G9" s="41">
        <v>0</v>
      </c>
      <c r="H9" s="41">
        <f t="shared" si="1"/>
        <v>2300</v>
      </c>
      <c r="I9" s="43">
        <v>3239</v>
      </c>
      <c r="J9" s="43"/>
      <c r="K9" s="44"/>
      <c r="L9" s="43"/>
      <c r="M9" s="43"/>
    </row>
    <row r="10" spans="1:26" ht="12.75" customHeight="1" x14ac:dyDescent="0.2">
      <c r="A10" s="40">
        <v>5</v>
      </c>
      <c r="B10" s="40">
        <v>2021</v>
      </c>
      <c r="C10" s="40" t="str">
        <f t="shared" si="0"/>
        <v>Income: 1</v>
      </c>
      <c r="D10" s="77" t="s">
        <v>458</v>
      </c>
      <c r="E10" s="40" t="s">
        <v>49</v>
      </c>
      <c r="F10" s="41">
        <v>1100</v>
      </c>
      <c r="G10" s="41">
        <v>0</v>
      </c>
      <c r="H10" s="41">
        <f t="shared" si="1"/>
        <v>1200</v>
      </c>
      <c r="I10" s="43">
        <v>3240</v>
      </c>
      <c r="J10" s="43"/>
      <c r="K10" s="44"/>
      <c r="L10" s="43"/>
      <c r="M10" s="43"/>
    </row>
    <row r="11" spans="1:26" ht="12.75" customHeight="1" x14ac:dyDescent="0.2">
      <c r="A11" s="40">
        <v>6</v>
      </c>
      <c r="B11" s="40">
        <v>2021</v>
      </c>
      <c r="C11" s="40" t="str">
        <f t="shared" si="0"/>
        <v>Rent: 1</v>
      </c>
      <c r="D11" s="77" t="s">
        <v>412</v>
      </c>
      <c r="E11" s="40" t="s">
        <v>175</v>
      </c>
      <c r="F11" s="41">
        <v>0</v>
      </c>
      <c r="G11" s="41">
        <v>3100</v>
      </c>
      <c r="H11" s="41">
        <f t="shared" si="1"/>
        <v>4300</v>
      </c>
      <c r="I11" s="43">
        <v>3241</v>
      </c>
      <c r="J11" s="43"/>
      <c r="K11" s="44"/>
      <c r="L11" s="43"/>
      <c r="M11" s="44"/>
    </row>
    <row r="12" spans="1:26" ht="12.75" customHeight="1" x14ac:dyDescent="0.2">
      <c r="A12" s="40">
        <v>6</v>
      </c>
      <c r="B12" s="40">
        <v>2021</v>
      </c>
      <c r="C12" s="40" t="str">
        <f t="shared" si="0"/>
        <v>Income: 1</v>
      </c>
      <c r="D12" s="77" t="s">
        <v>459</v>
      </c>
      <c r="E12" s="40" t="s">
        <v>49</v>
      </c>
      <c r="F12" s="41">
        <v>2000</v>
      </c>
      <c r="G12" s="41">
        <v>0</v>
      </c>
      <c r="H12" s="41">
        <f t="shared" si="1"/>
        <v>2300</v>
      </c>
      <c r="I12" s="43">
        <v>3242</v>
      </c>
      <c r="J12" s="43"/>
      <c r="K12" s="44"/>
    </row>
    <row r="13" spans="1:26" ht="12.75" customHeight="1" x14ac:dyDescent="0.2">
      <c r="A13" s="40">
        <v>6</v>
      </c>
      <c r="B13" s="40">
        <v>2021</v>
      </c>
      <c r="C13" s="40" t="str">
        <f t="shared" si="0"/>
        <v>Income: 1</v>
      </c>
      <c r="D13" s="77" t="s">
        <v>460</v>
      </c>
      <c r="E13" s="40" t="s">
        <v>49</v>
      </c>
      <c r="F13" s="41">
        <v>1100</v>
      </c>
      <c r="G13" s="41">
        <v>0</v>
      </c>
      <c r="H13" s="41">
        <f t="shared" si="1"/>
        <v>1200</v>
      </c>
      <c r="I13" s="43">
        <v>3243</v>
      </c>
      <c r="J13" s="43"/>
      <c r="K13" s="44"/>
      <c r="M13" s="14"/>
    </row>
    <row r="14" spans="1:26" ht="12.75" customHeight="1" x14ac:dyDescent="0.2">
      <c r="A14" s="40">
        <v>7</v>
      </c>
      <c r="B14" s="40">
        <v>2021</v>
      </c>
      <c r="C14" s="40" t="str">
        <f t="shared" si="0"/>
        <v>Rent: 1</v>
      </c>
      <c r="D14" s="77" t="s">
        <v>413</v>
      </c>
      <c r="E14" s="40" t="s">
        <v>178</v>
      </c>
      <c r="F14" s="41">
        <v>0</v>
      </c>
      <c r="G14" s="41">
        <v>3100</v>
      </c>
      <c r="H14" s="41">
        <f t="shared" si="1"/>
        <v>4300</v>
      </c>
      <c r="I14" s="43">
        <v>3244</v>
      </c>
      <c r="J14" s="43"/>
      <c r="K14" s="44"/>
    </row>
    <row r="15" spans="1:26" ht="12.75" customHeight="1" x14ac:dyDescent="0.2">
      <c r="A15" s="40">
        <v>7</v>
      </c>
      <c r="B15" s="40">
        <v>2021</v>
      </c>
      <c r="C15" s="40" t="str">
        <f t="shared" si="0"/>
        <v>Income: 1</v>
      </c>
      <c r="D15" s="77" t="s">
        <v>179</v>
      </c>
      <c r="E15" s="40" t="s">
        <v>49</v>
      </c>
      <c r="F15" s="41">
        <v>2000</v>
      </c>
      <c r="G15" s="41">
        <v>0</v>
      </c>
      <c r="H15" s="41">
        <f t="shared" si="1"/>
        <v>2300</v>
      </c>
      <c r="I15" s="43">
        <v>3245</v>
      </c>
      <c r="J15" s="43"/>
      <c r="K15" s="44"/>
      <c r="M15" s="14"/>
    </row>
    <row r="16" spans="1:26" ht="12.75" customHeight="1" x14ac:dyDescent="0.2">
      <c r="A16" s="40">
        <v>7</v>
      </c>
      <c r="B16" s="40">
        <v>2021</v>
      </c>
      <c r="C16" s="40" t="str">
        <f t="shared" si="0"/>
        <v>Income: 1</v>
      </c>
      <c r="D16" s="77" t="s">
        <v>179</v>
      </c>
      <c r="E16" s="40" t="s">
        <v>49</v>
      </c>
      <c r="F16" s="41">
        <v>1100</v>
      </c>
      <c r="G16" s="41">
        <v>0</v>
      </c>
      <c r="H16" s="41">
        <f t="shared" si="1"/>
        <v>1200</v>
      </c>
      <c r="I16" s="43">
        <v>3246</v>
      </c>
      <c r="J16" s="43"/>
      <c r="K16" s="44"/>
    </row>
    <row r="17" spans="1:17" ht="12.75" customHeight="1" x14ac:dyDescent="0.2">
      <c r="A17" s="40">
        <v>8</v>
      </c>
      <c r="B17" s="40">
        <v>2021</v>
      </c>
      <c r="C17" s="40" t="str">
        <f t="shared" si="0"/>
        <v>Rent: 1</v>
      </c>
      <c r="D17" s="77" t="s">
        <v>416</v>
      </c>
      <c r="E17" s="40" t="s">
        <v>181</v>
      </c>
      <c r="F17" s="41">
        <v>0</v>
      </c>
      <c r="G17" s="41">
        <v>3100</v>
      </c>
      <c r="H17" s="41">
        <f t="shared" si="1"/>
        <v>4300</v>
      </c>
      <c r="I17" s="43">
        <v>3247</v>
      </c>
      <c r="J17" s="43"/>
      <c r="K17" s="44"/>
      <c r="M17" s="14"/>
    </row>
    <row r="18" spans="1:17" ht="12.75" customHeight="1" x14ac:dyDescent="0.2">
      <c r="A18" s="40">
        <v>8</v>
      </c>
      <c r="B18" s="40">
        <v>2021</v>
      </c>
      <c r="C18" s="40" t="str">
        <f t="shared" si="0"/>
        <v>Income: 1</v>
      </c>
      <c r="D18" s="77" t="s">
        <v>461</v>
      </c>
      <c r="E18" s="40" t="s">
        <v>49</v>
      </c>
      <c r="F18" s="41">
        <v>2000</v>
      </c>
      <c r="G18" s="41">
        <v>0</v>
      </c>
      <c r="H18" s="41">
        <f t="shared" si="1"/>
        <v>2300</v>
      </c>
      <c r="I18" s="43">
        <v>3248</v>
      </c>
      <c r="J18" s="43"/>
      <c r="K18" s="44"/>
    </row>
    <row r="19" spans="1:17" ht="12.75" customHeight="1" x14ac:dyDescent="0.2">
      <c r="A19" s="40">
        <v>8</v>
      </c>
      <c r="B19" s="40">
        <v>2021</v>
      </c>
      <c r="C19" s="40" t="str">
        <f t="shared" si="0"/>
        <v>Income: 1</v>
      </c>
      <c r="D19" s="77" t="s">
        <v>462</v>
      </c>
      <c r="E19" s="40" t="s">
        <v>49</v>
      </c>
      <c r="F19" s="41">
        <v>1100</v>
      </c>
      <c r="G19" s="41">
        <v>0</v>
      </c>
      <c r="H19" s="41">
        <f t="shared" si="1"/>
        <v>1200</v>
      </c>
      <c r="I19" s="43">
        <v>3249</v>
      </c>
      <c r="J19" s="43"/>
      <c r="K19" s="44"/>
      <c r="M19" s="14"/>
    </row>
    <row r="20" spans="1:17" ht="12.75" customHeight="1" x14ac:dyDescent="0.2">
      <c r="A20" s="40">
        <v>9</v>
      </c>
      <c r="B20" s="40">
        <v>2021</v>
      </c>
      <c r="C20" s="40" t="str">
        <f t="shared" si="0"/>
        <v>Rent: 1</v>
      </c>
      <c r="D20" s="77" t="s">
        <v>418</v>
      </c>
      <c r="E20" s="40" t="s">
        <v>184</v>
      </c>
      <c r="F20" s="41">
        <v>0</v>
      </c>
      <c r="G20" s="41">
        <v>3100</v>
      </c>
      <c r="H20" s="41">
        <f t="shared" si="1"/>
        <v>4300</v>
      </c>
      <c r="I20" s="43">
        <v>3250</v>
      </c>
      <c r="J20" s="43"/>
      <c r="K20" s="44"/>
      <c r="M20" s="14"/>
    </row>
    <row r="21" spans="1:17" ht="12.75" customHeight="1" x14ac:dyDescent="0.2">
      <c r="A21" s="40">
        <v>9</v>
      </c>
      <c r="B21" s="40">
        <v>2021</v>
      </c>
      <c r="C21" s="40" t="str">
        <f t="shared" si="0"/>
        <v>Income: 1</v>
      </c>
      <c r="D21" s="77" t="s">
        <v>463</v>
      </c>
      <c r="E21" s="40" t="s">
        <v>49</v>
      </c>
      <c r="F21" s="41">
        <v>2000</v>
      </c>
      <c r="G21" s="41">
        <v>0</v>
      </c>
      <c r="H21" s="41">
        <f t="shared" si="1"/>
        <v>2300</v>
      </c>
      <c r="I21" s="43">
        <v>3251</v>
      </c>
      <c r="J21" s="43"/>
      <c r="K21" s="44"/>
    </row>
    <row r="22" spans="1:17" ht="12.75" customHeight="1" x14ac:dyDescent="0.2">
      <c r="A22" s="40">
        <v>9</v>
      </c>
      <c r="B22" s="40">
        <v>2021</v>
      </c>
      <c r="C22" s="40" t="str">
        <f t="shared" si="0"/>
        <v>Income: 1</v>
      </c>
      <c r="D22" s="77" t="s">
        <v>463</v>
      </c>
      <c r="E22" s="40" t="s">
        <v>49</v>
      </c>
      <c r="F22" s="41">
        <v>1100</v>
      </c>
      <c r="G22" s="41">
        <v>0</v>
      </c>
      <c r="H22" s="41">
        <f t="shared" si="1"/>
        <v>1200</v>
      </c>
      <c r="I22" s="45">
        <v>3252</v>
      </c>
      <c r="J22" s="43"/>
      <c r="K22" s="44"/>
      <c r="M22" s="14"/>
    </row>
    <row r="23" spans="1:17" ht="12.75" customHeight="1" x14ac:dyDescent="0.2">
      <c r="A23" s="40">
        <v>10</v>
      </c>
      <c r="B23" s="40">
        <v>2021</v>
      </c>
      <c r="C23" s="40" t="str">
        <f t="shared" si="0"/>
        <v>Rent: 1</v>
      </c>
      <c r="D23" s="77" t="s">
        <v>420</v>
      </c>
      <c r="E23" s="40" t="s">
        <v>187</v>
      </c>
      <c r="F23" s="41">
        <v>0</v>
      </c>
      <c r="G23" s="41">
        <v>3100</v>
      </c>
      <c r="H23" s="41">
        <f t="shared" si="1"/>
        <v>4300</v>
      </c>
      <c r="I23" s="45">
        <v>3253</v>
      </c>
      <c r="J23" s="43"/>
      <c r="K23" s="44"/>
      <c r="M23" s="14"/>
    </row>
    <row r="24" spans="1:17" ht="12.75" customHeight="1" x14ac:dyDescent="0.2">
      <c r="A24" s="40">
        <v>10</v>
      </c>
      <c r="B24" s="40">
        <v>2021</v>
      </c>
      <c r="C24" s="40" t="str">
        <f t="shared" si="0"/>
        <v>Late Fee 1</v>
      </c>
      <c r="D24" s="77" t="s">
        <v>464</v>
      </c>
      <c r="E24" s="40" t="s">
        <v>50</v>
      </c>
      <c r="F24" s="41">
        <v>0</v>
      </c>
      <c r="G24" s="41">
        <v>50</v>
      </c>
      <c r="H24" s="41">
        <f t="shared" si="1"/>
        <v>4350</v>
      </c>
      <c r="I24" s="43">
        <v>3254</v>
      </c>
      <c r="J24" s="43"/>
      <c r="K24" s="44"/>
    </row>
    <row r="25" spans="1:17" ht="12.75" customHeight="1" x14ac:dyDescent="0.2">
      <c r="A25" s="40">
        <v>11</v>
      </c>
      <c r="B25" s="40">
        <v>2021</v>
      </c>
      <c r="C25" s="40" t="str">
        <f t="shared" si="0"/>
        <v>Rent: 1</v>
      </c>
      <c r="D25" s="77" t="s">
        <v>422</v>
      </c>
      <c r="E25" s="40" t="s">
        <v>190</v>
      </c>
      <c r="F25" s="41">
        <v>0</v>
      </c>
      <c r="G25" s="41">
        <v>3100</v>
      </c>
      <c r="H25" s="41">
        <f t="shared" si="1"/>
        <v>7450</v>
      </c>
      <c r="I25" s="45">
        <v>3255</v>
      </c>
      <c r="J25" s="43"/>
      <c r="K25" s="44"/>
      <c r="M25" s="14"/>
    </row>
    <row r="26" spans="1:17" ht="12.75" customHeight="1" x14ac:dyDescent="0.2">
      <c r="A26" s="40">
        <v>11</v>
      </c>
      <c r="B26" s="40">
        <v>2021</v>
      </c>
      <c r="C26" s="40" t="str">
        <f t="shared" si="0"/>
        <v>Income: 1</v>
      </c>
      <c r="D26" s="77" t="s">
        <v>465</v>
      </c>
      <c r="E26" s="40" t="s">
        <v>49</v>
      </c>
      <c r="F26" s="41">
        <v>2000</v>
      </c>
      <c r="G26" s="41">
        <v>0</v>
      </c>
      <c r="H26" s="41">
        <f t="shared" si="1"/>
        <v>5450</v>
      </c>
      <c r="I26" s="45">
        <v>3256</v>
      </c>
      <c r="J26" s="43"/>
      <c r="K26" s="44"/>
      <c r="M26" s="14"/>
    </row>
    <row r="27" spans="1:17" ht="12.75" customHeight="1" x14ac:dyDescent="0.2">
      <c r="A27" s="40">
        <v>11</v>
      </c>
      <c r="B27" s="40">
        <v>2021</v>
      </c>
      <c r="C27" s="40" t="str">
        <f t="shared" si="0"/>
        <v>Income: 1</v>
      </c>
      <c r="D27" s="77" t="s">
        <v>466</v>
      </c>
      <c r="E27" s="40" t="s">
        <v>49</v>
      </c>
      <c r="F27" s="41">
        <v>1100</v>
      </c>
      <c r="G27" s="41">
        <v>0</v>
      </c>
      <c r="H27" s="41">
        <f t="shared" si="1"/>
        <v>4350</v>
      </c>
      <c r="I27" s="43">
        <v>3257</v>
      </c>
      <c r="J27" s="43"/>
      <c r="K27" s="43"/>
    </row>
    <row r="28" spans="1:17" ht="12.75" customHeight="1" x14ac:dyDescent="0.2">
      <c r="A28" s="40">
        <v>12</v>
      </c>
      <c r="B28" s="40">
        <v>2021</v>
      </c>
      <c r="C28" s="40" t="str">
        <f t="shared" si="0"/>
        <v>Rent: 1</v>
      </c>
      <c r="D28" s="77" t="s">
        <v>424</v>
      </c>
      <c r="E28" s="40" t="s">
        <v>193</v>
      </c>
      <c r="F28" s="41">
        <v>0</v>
      </c>
      <c r="G28" s="41">
        <v>3100</v>
      </c>
      <c r="H28" s="41">
        <f t="shared" si="1"/>
        <v>7450</v>
      </c>
      <c r="I28" s="45">
        <v>3258</v>
      </c>
      <c r="J28" s="43"/>
      <c r="K28" s="43"/>
      <c r="M28" s="50"/>
      <c r="N28" s="43"/>
      <c r="P28" s="43"/>
      <c r="Q28" s="43"/>
    </row>
    <row r="29" spans="1:17" ht="12.75" customHeight="1" x14ac:dyDescent="0.2">
      <c r="A29" s="40">
        <v>12</v>
      </c>
      <c r="B29" s="40">
        <v>2021</v>
      </c>
      <c r="C29" s="40" t="str">
        <f t="shared" si="0"/>
        <v>Income: 1</v>
      </c>
      <c r="D29" s="77" t="s">
        <v>424</v>
      </c>
      <c r="E29" s="40" t="s">
        <v>49</v>
      </c>
      <c r="F29" s="41">
        <v>2000</v>
      </c>
      <c r="G29" s="41">
        <v>0</v>
      </c>
      <c r="H29" s="41">
        <f t="shared" si="1"/>
        <v>5450</v>
      </c>
      <c r="I29" s="45">
        <v>3259</v>
      </c>
      <c r="J29" s="43"/>
      <c r="K29" s="43"/>
    </row>
    <row r="30" spans="1:17" ht="12.75" customHeight="1" x14ac:dyDescent="0.2">
      <c r="A30" s="40">
        <v>12</v>
      </c>
      <c r="B30" s="40">
        <v>2021</v>
      </c>
      <c r="C30" s="40" t="str">
        <f t="shared" si="0"/>
        <v>Income: 1</v>
      </c>
      <c r="D30" s="77" t="s">
        <v>467</v>
      </c>
      <c r="E30" s="40" t="s">
        <v>49</v>
      </c>
      <c r="F30" s="41">
        <v>1100</v>
      </c>
      <c r="G30" s="41">
        <v>0</v>
      </c>
      <c r="H30" s="41">
        <f t="shared" si="1"/>
        <v>4350</v>
      </c>
      <c r="I30" s="40">
        <v>3260</v>
      </c>
      <c r="J30" s="45"/>
      <c r="K30" s="45"/>
    </row>
    <row r="31" spans="1:17" ht="12.75" customHeight="1" x14ac:dyDescent="0.2">
      <c r="A31" s="40">
        <v>12</v>
      </c>
      <c r="B31" s="40">
        <v>2021</v>
      </c>
      <c r="C31" s="40" t="str">
        <f t="shared" si="0"/>
        <v>Income: 1</v>
      </c>
      <c r="D31" s="77" t="s">
        <v>468</v>
      </c>
      <c r="E31" s="40" t="s">
        <v>49</v>
      </c>
      <c r="F31" s="41">
        <v>2000</v>
      </c>
      <c r="G31" s="41">
        <v>0</v>
      </c>
      <c r="H31" s="41">
        <f t="shared" si="1"/>
        <v>2350</v>
      </c>
      <c r="I31" s="40">
        <v>3261</v>
      </c>
      <c r="J31" s="44"/>
      <c r="K31" s="43"/>
    </row>
    <row r="32" spans="1:17" ht="12.75" customHeight="1" x14ac:dyDescent="0.2">
      <c r="A32" s="40">
        <v>12</v>
      </c>
      <c r="B32" s="40">
        <v>2021</v>
      </c>
      <c r="C32" s="40" t="str">
        <f t="shared" si="0"/>
        <v>Income: 1</v>
      </c>
      <c r="D32" s="77" t="s">
        <v>468</v>
      </c>
      <c r="E32" s="40" t="s">
        <v>49</v>
      </c>
      <c r="F32" s="41">
        <v>50</v>
      </c>
      <c r="G32" s="41">
        <v>0</v>
      </c>
      <c r="H32" s="41">
        <f t="shared" si="1"/>
        <v>2300</v>
      </c>
      <c r="I32" s="40">
        <v>3262</v>
      </c>
      <c r="J32" s="43"/>
      <c r="K32" s="43"/>
    </row>
    <row r="33" spans="1:11" ht="12.75" customHeight="1" x14ac:dyDescent="0.2">
      <c r="A33" s="40">
        <v>12</v>
      </c>
      <c r="B33" s="40">
        <v>2021</v>
      </c>
      <c r="C33" s="40" t="str">
        <f t="shared" si="0"/>
        <v>Income: 1</v>
      </c>
      <c r="D33" s="77" t="s">
        <v>468</v>
      </c>
      <c r="E33" s="40" t="s">
        <v>49</v>
      </c>
      <c r="F33" s="41">
        <v>1100</v>
      </c>
      <c r="G33" s="41">
        <v>0</v>
      </c>
      <c r="H33" s="41">
        <f t="shared" si="1"/>
        <v>1200</v>
      </c>
      <c r="I33" s="43">
        <v>3263</v>
      </c>
      <c r="J33" s="43"/>
      <c r="K33" s="43"/>
    </row>
    <row r="34" spans="1:11" ht="12.75" customHeight="1" x14ac:dyDescent="0.2">
      <c r="A34" s="40">
        <v>12</v>
      </c>
      <c r="B34" s="40">
        <v>2021</v>
      </c>
      <c r="C34" s="40" t="str">
        <f t="shared" si="0"/>
        <v>Income: 1</v>
      </c>
      <c r="D34" s="77" t="s">
        <v>469</v>
      </c>
      <c r="E34" s="40" t="s">
        <v>49</v>
      </c>
      <c r="F34" s="41">
        <v>1200</v>
      </c>
      <c r="G34" s="41">
        <v>0</v>
      </c>
      <c r="H34" s="41">
        <f t="shared" si="1"/>
        <v>0</v>
      </c>
      <c r="I34" s="45">
        <v>3264</v>
      </c>
      <c r="J34" s="43"/>
      <c r="K34" s="43"/>
    </row>
    <row r="35" spans="1:11" ht="12.75" customHeight="1" x14ac:dyDescent="0.2">
      <c r="A35" s="40">
        <v>1</v>
      </c>
      <c r="B35" s="40">
        <v>2022</v>
      </c>
      <c r="C35" s="40" t="str">
        <f t="shared" si="0"/>
        <v>Rent: 1</v>
      </c>
      <c r="D35" s="77" t="s">
        <v>426</v>
      </c>
      <c r="E35" s="40" t="s">
        <v>196</v>
      </c>
      <c r="F35" s="41">
        <v>0</v>
      </c>
      <c r="G35" s="41">
        <v>3100</v>
      </c>
      <c r="H35" s="41">
        <f t="shared" si="1"/>
        <v>3100</v>
      </c>
      <c r="I35" s="40">
        <v>3265</v>
      </c>
      <c r="J35" s="43"/>
      <c r="K35" s="43"/>
    </row>
    <row r="36" spans="1:11" ht="12.75" customHeight="1" x14ac:dyDescent="0.2">
      <c r="A36" s="40">
        <v>1</v>
      </c>
      <c r="B36" s="40">
        <v>2022</v>
      </c>
      <c r="C36" s="40" t="str">
        <f t="shared" si="0"/>
        <v>Income: 1</v>
      </c>
      <c r="D36" s="77" t="s">
        <v>470</v>
      </c>
      <c r="E36" s="40" t="s">
        <v>49</v>
      </c>
      <c r="F36" s="41">
        <v>2000</v>
      </c>
      <c r="G36" s="41">
        <v>0</v>
      </c>
      <c r="H36" s="41">
        <f t="shared" si="1"/>
        <v>1100</v>
      </c>
      <c r="I36" s="43">
        <v>3266</v>
      </c>
      <c r="J36" s="43"/>
      <c r="K36" s="43"/>
    </row>
    <row r="37" spans="1:11" ht="12.75" customHeight="1" x14ac:dyDescent="0.2">
      <c r="A37" s="40">
        <v>1</v>
      </c>
      <c r="B37" s="40">
        <v>2022</v>
      </c>
      <c r="C37" s="40" t="str">
        <f t="shared" ref="C37:C68" si="2">IFERROR("Late Fee "&amp;FIND("Late Fee",E37),IFERROR("Internet "&amp;FIND("Internet",E37),IFERROR("Utilities "&amp;FIND("Utilities",E37),IFERROR("Rent: "&amp;FIND("Rent",E37),IFERROR("Priv Tax: "&amp;FIND("Tax",E37),IFERROR("Income: "&amp;FIND("Payment",E37,1),""))))))</f>
        <v>Income: 1</v>
      </c>
      <c r="D37" s="77" t="s">
        <v>470</v>
      </c>
      <c r="E37" s="40" t="s">
        <v>49</v>
      </c>
      <c r="F37" s="41">
        <v>1100</v>
      </c>
      <c r="G37" s="41">
        <v>0</v>
      </c>
      <c r="H37" s="41">
        <f t="shared" si="1"/>
        <v>0</v>
      </c>
      <c r="I37" s="45">
        <v>3267</v>
      </c>
      <c r="J37" s="45"/>
      <c r="K37" s="43"/>
    </row>
    <row r="38" spans="1:11" ht="12.75" customHeight="1" x14ac:dyDescent="0.2">
      <c r="A38" s="40">
        <v>2</v>
      </c>
      <c r="B38" s="40">
        <v>2022</v>
      </c>
      <c r="C38" s="40" t="str">
        <f t="shared" si="2"/>
        <v>Rent: 1</v>
      </c>
      <c r="D38" s="77" t="s">
        <v>429</v>
      </c>
      <c r="E38" s="40" t="s">
        <v>199</v>
      </c>
      <c r="F38" s="41">
        <v>0</v>
      </c>
      <c r="G38" s="41">
        <v>3100</v>
      </c>
      <c r="H38" s="41">
        <f t="shared" ref="H38:H69" si="3" xml:space="preserve"> H37 + G38 - F38</f>
        <v>3100</v>
      </c>
      <c r="I38" s="40">
        <v>3268</v>
      </c>
      <c r="J38" s="40"/>
      <c r="K38" s="43"/>
    </row>
    <row r="39" spans="1:11" ht="12.75" customHeight="1" x14ac:dyDescent="0.2">
      <c r="A39" s="40">
        <v>2</v>
      </c>
      <c r="B39" s="40">
        <v>2022</v>
      </c>
      <c r="C39" s="40" t="str">
        <f t="shared" si="2"/>
        <v>Income: 1</v>
      </c>
      <c r="D39" s="77" t="s">
        <v>429</v>
      </c>
      <c r="E39" s="40" t="s">
        <v>49</v>
      </c>
      <c r="F39" s="41">
        <v>2000</v>
      </c>
      <c r="G39" s="41">
        <v>0</v>
      </c>
      <c r="H39" s="41">
        <f t="shared" si="3"/>
        <v>1100</v>
      </c>
      <c r="I39" s="40">
        <v>3269</v>
      </c>
      <c r="J39" s="40"/>
      <c r="K39" s="43"/>
    </row>
    <row r="40" spans="1:11" ht="12.75" customHeight="1" x14ac:dyDescent="0.2">
      <c r="A40" s="40">
        <v>2</v>
      </c>
      <c r="B40" s="40">
        <v>2022</v>
      </c>
      <c r="C40" s="40" t="str">
        <f t="shared" si="2"/>
        <v>Income: 1</v>
      </c>
      <c r="D40" s="77" t="s">
        <v>471</v>
      </c>
      <c r="E40" s="40" t="s">
        <v>49</v>
      </c>
      <c r="F40" s="41">
        <v>1100</v>
      </c>
      <c r="G40" s="41">
        <v>0</v>
      </c>
      <c r="H40" s="41">
        <f t="shared" si="3"/>
        <v>0</v>
      </c>
      <c r="I40" s="45">
        <v>3270</v>
      </c>
      <c r="J40" s="40"/>
      <c r="K40" s="43"/>
    </row>
    <row r="41" spans="1:11" ht="12.75" customHeight="1" x14ac:dyDescent="0.2">
      <c r="A41" s="40">
        <v>3</v>
      </c>
      <c r="B41" s="40">
        <v>2022</v>
      </c>
      <c r="C41" s="40" t="str">
        <f t="shared" si="2"/>
        <v>Rent: 1</v>
      </c>
      <c r="D41" s="77" t="s">
        <v>431</v>
      </c>
      <c r="E41" s="40" t="s">
        <v>202</v>
      </c>
      <c r="F41" s="41">
        <v>0</v>
      </c>
      <c r="G41" s="41">
        <v>3200</v>
      </c>
      <c r="H41" s="41">
        <f t="shared" si="3"/>
        <v>3200</v>
      </c>
      <c r="I41" s="40">
        <v>3271</v>
      </c>
      <c r="J41" s="40"/>
      <c r="K41" s="43"/>
    </row>
    <row r="42" spans="1:11" ht="12.75" customHeight="1" x14ac:dyDescent="0.2">
      <c r="A42" s="40">
        <v>3</v>
      </c>
      <c r="B42" s="40">
        <v>2022</v>
      </c>
      <c r="C42" s="40" t="str">
        <f t="shared" si="2"/>
        <v>Income: 1</v>
      </c>
      <c r="D42" s="77" t="s">
        <v>472</v>
      </c>
      <c r="E42" s="40" t="s">
        <v>49</v>
      </c>
      <c r="F42" s="41">
        <v>2000</v>
      </c>
      <c r="G42" s="41">
        <v>0</v>
      </c>
      <c r="H42" s="41">
        <f t="shared" si="3"/>
        <v>1200</v>
      </c>
      <c r="I42" s="43">
        <v>3272</v>
      </c>
      <c r="J42" s="43"/>
      <c r="K42" s="43"/>
    </row>
    <row r="43" spans="1:11" ht="12.75" customHeight="1" x14ac:dyDescent="0.2">
      <c r="A43" s="40">
        <v>3</v>
      </c>
      <c r="B43" s="40">
        <v>2022</v>
      </c>
      <c r="C43" s="40" t="str">
        <f t="shared" si="2"/>
        <v>Income: 1</v>
      </c>
      <c r="D43" s="77" t="s">
        <v>472</v>
      </c>
      <c r="E43" s="40" t="s">
        <v>49</v>
      </c>
      <c r="F43" s="41">
        <v>1200</v>
      </c>
      <c r="G43" s="41">
        <v>0</v>
      </c>
      <c r="H43" s="41">
        <f t="shared" si="3"/>
        <v>0</v>
      </c>
      <c r="I43" s="43">
        <v>3273</v>
      </c>
      <c r="J43" s="43"/>
      <c r="K43" s="43"/>
    </row>
    <row r="44" spans="1:11" ht="12.75" customHeight="1" x14ac:dyDescent="0.2">
      <c r="A44" s="40">
        <v>4</v>
      </c>
      <c r="B44" s="40">
        <v>2022</v>
      </c>
      <c r="C44" s="40" t="str">
        <f t="shared" si="2"/>
        <v>Rent: 1</v>
      </c>
      <c r="D44" s="77" t="s">
        <v>433</v>
      </c>
      <c r="E44" s="40" t="s">
        <v>205</v>
      </c>
      <c r="F44" s="41">
        <v>0</v>
      </c>
      <c r="G44" s="41">
        <v>3200</v>
      </c>
      <c r="H44" s="41">
        <f t="shared" si="3"/>
        <v>3200</v>
      </c>
      <c r="I44" s="40">
        <v>3274</v>
      </c>
      <c r="J44" s="43"/>
      <c r="K44" s="43"/>
    </row>
    <row r="45" spans="1:11" ht="12.75" customHeight="1" x14ac:dyDescent="0.2">
      <c r="A45" s="40">
        <v>4</v>
      </c>
      <c r="B45" s="40">
        <v>2022</v>
      </c>
      <c r="C45" s="40" t="str">
        <f t="shared" si="2"/>
        <v>Income: 1</v>
      </c>
      <c r="D45" s="77" t="s">
        <v>473</v>
      </c>
      <c r="E45" s="40" t="s">
        <v>49</v>
      </c>
      <c r="F45" s="41">
        <v>2000</v>
      </c>
      <c r="G45" s="41">
        <v>0</v>
      </c>
      <c r="H45" s="41">
        <f t="shared" si="3"/>
        <v>1200</v>
      </c>
      <c r="I45" s="45">
        <v>3275</v>
      </c>
      <c r="J45" s="43"/>
      <c r="K45" s="43"/>
    </row>
    <row r="46" spans="1:11" ht="12.75" customHeight="1" x14ac:dyDescent="0.2">
      <c r="A46" s="40">
        <v>4</v>
      </c>
      <c r="B46" s="40">
        <v>2022</v>
      </c>
      <c r="C46" s="40" t="str">
        <f t="shared" si="2"/>
        <v>Income: 1</v>
      </c>
      <c r="D46" s="77" t="s">
        <v>473</v>
      </c>
      <c r="E46" s="40" t="s">
        <v>49</v>
      </c>
      <c r="F46" s="41">
        <v>1200</v>
      </c>
      <c r="G46" s="41">
        <v>0</v>
      </c>
      <c r="H46" s="41">
        <f t="shared" si="3"/>
        <v>0</v>
      </c>
      <c r="I46" s="43">
        <v>3276</v>
      </c>
      <c r="J46" s="41"/>
      <c r="K46" s="44"/>
    </row>
    <row r="47" spans="1:11" ht="12.75" customHeight="1" x14ac:dyDescent="0.2">
      <c r="A47" s="40">
        <v>5</v>
      </c>
      <c r="B47" s="40">
        <v>2022</v>
      </c>
      <c r="C47" s="40" t="str">
        <f t="shared" si="2"/>
        <v>Rent: 1</v>
      </c>
      <c r="D47" s="77" t="s">
        <v>435</v>
      </c>
      <c r="E47" s="40" t="s">
        <v>208</v>
      </c>
      <c r="F47" s="41">
        <v>0</v>
      </c>
      <c r="G47" s="41">
        <v>3200</v>
      </c>
      <c r="H47" s="41">
        <f t="shared" si="3"/>
        <v>3200</v>
      </c>
      <c r="I47" s="40">
        <v>3277</v>
      </c>
      <c r="J47" s="43"/>
      <c r="K47" s="44"/>
    </row>
    <row r="48" spans="1:11" ht="12.75" customHeight="1" x14ac:dyDescent="0.2">
      <c r="A48" s="40">
        <v>5</v>
      </c>
      <c r="B48" s="40">
        <v>2022</v>
      </c>
      <c r="C48" s="40" t="str">
        <f t="shared" si="2"/>
        <v>Income: 1</v>
      </c>
      <c r="D48" s="77" t="s">
        <v>474</v>
      </c>
      <c r="E48" s="40" t="s">
        <v>49</v>
      </c>
      <c r="F48" s="41">
        <v>2000</v>
      </c>
      <c r="G48" s="41">
        <v>0</v>
      </c>
      <c r="H48" s="41">
        <f t="shared" si="3"/>
        <v>1200</v>
      </c>
      <c r="I48" s="40">
        <v>3278</v>
      </c>
      <c r="J48" s="43"/>
      <c r="K48" s="44"/>
    </row>
    <row r="49" spans="1:16" ht="12.75" customHeight="1" x14ac:dyDescent="0.2">
      <c r="A49" s="40">
        <v>5</v>
      </c>
      <c r="B49" s="40">
        <v>2022</v>
      </c>
      <c r="C49" s="40" t="str">
        <f t="shared" si="2"/>
        <v>Income: 1</v>
      </c>
      <c r="D49" s="77" t="s">
        <v>475</v>
      </c>
      <c r="E49" s="40" t="s">
        <v>49</v>
      </c>
      <c r="F49" s="41">
        <v>1200</v>
      </c>
      <c r="G49" s="41">
        <v>0</v>
      </c>
      <c r="H49" s="41">
        <f t="shared" si="3"/>
        <v>0</v>
      </c>
      <c r="I49" s="40">
        <v>3279</v>
      </c>
      <c r="J49" s="43"/>
      <c r="K49" s="43"/>
    </row>
    <row r="50" spans="1:16" ht="12.75" customHeight="1" x14ac:dyDescent="0.2">
      <c r="A50" s="40">
        <v>6</v>
      </c>
      <c r="B50" s="40">
        <v>2022</v>
      </c>
      <c r="C50" s="40" t="str">
        <f t="shared" si="2"/>
        <v>Rent: 1</v>
      </c>
      <c r="D50" s="77" t="s">
        <v>437</v>
      </c>
      <c r="E50" s="40" t="s">
        <v>211</v>
      </c>
      <c r="F50" s="41">
        <v>0</v>
      </c>
      <c r="G50" s="41">
        <v>3200</v>
      </c>
      <c r="H50" s="41">
        <f t="shared" si="3"/>
        <v>3200</v>
      </c>
      <c r="I50" s="45">
        <v>3280</v>
      </c>
      <c r="J50" s="43"/>
      <c r="K50" s="43"/>
    </row>
    <row r="51" spans="1:16" ht="12.75" customHeight="1" x14ac:dyDescent="0.2">
      <c r="A51" s="40">
        <v>6</v>
      </c>
      <c r="B51" s="40">
        <v>2022</v>
      </c>
      <c r="C51" s="40" t="str">
        <f t="shared" si="2"/>
        <v>Income: 1</v>
      </c>
      <c r="D51" s="77" t="s">
        <v>476</v>
      </c>
      <c r="E51" s="40" t="s">
        <v>49</v>
      </c>
      <c r="F51" s="41">
        <v>3200</v>
      </c>
      <c r="G51" s="41">
        <v>0</v>
      </c>
      <c r="H51" s="41">
        <f t="shared" si="3"/>
        <v>0</v>
      </c>
      <c r="I51" s="45">
        <v>3281</v>
      </c>
      <c r="J51" s="43"/>
      <c r="K51" s="43"/>
    </row>
    <row r="52" spans="1:16" ht="12.75" customHeight="1" x14ac:dyDescent="0.2">
      <c r="A52" s="40">
        <v>7</v>
      </c>
      <c r="B52" s="40">
        <v>2022</v>
      </c>
      <c r="C52" s="40" t="str">
        <f t="shared" si="2"/>
        <v>Rent: 1</v>
      </c>
      <c r="D52" s="77" t="s">
        <v>439</v>
      </c>
      <c r="E52" s="40" t="s">
        <v>214</v>
      </c>
      <c r="F52" s="41">
        <v>0</v>
      </c>
      <c r="G52" s="41">
        <v>3200</v>
      </c>
      <c r="H52" s="41">
        <f t="shared" si="3"/>
        <v>3200</v>
      </c>
      <c r="I52" s="43">
        <v>3282</v>
      </c>
      <c r="J52" s="43"/>
      <c r="K52" s="43"/>
    </row>
    <row r="53" spans="1:16" ht="12.75" customHeight="1" x14ac:dyDescent="0.2">
      <c r="A53" s="40">
        <v>7</v>
      </c>
      <c r="B53" s="40">
        <v>2022</v>
      </c>
      <c r="C53" s="40" t="str">
        <f t="shared" si="2"/>
        <v>Income: 1</v>
      </c>
      <c r="D53" s="77" t="s">
        <v>477</v>
      </c>
      <c r="E53" s="40" t="s">
        <v>49</v>
      </c>
      <c r="F53" s="41">
        <v>2000</v>
      </c>
      <c r="G53" s="41">
        <v>0</v>
      </c>
      <c r="H53" s="41">
        <f t="shared" si="3"/>
        <v>1200</v>
      </c>
      <c r="I53" s="40">
        <v>3283</v>
      </c>
      <c r="J53" s="43"/>
      <c r="K53" s="43"/>
    </row>
    <row r="54" spans="1:16" ht="12.75" customHeight="1" x14ac:dyDescent="0.2">
      <c r="A54" s="40">
        <v>7</v>
      </c>
      <c r="B54" s="40">
        <v>2022</v>
      </c>
      <c r="C54" s="40" t="str">
        <f t="shared" si="2"/>
        <v>Income: 1</v>
      </c>
      <c r="D54" s="77" t="s">
        <v>477</v>
      </c>
      <c r="E54" s="40" t="s">
        <v>49</v>
      </c>
      <c r="F54" s="41">
        <v>1200</v>
      </c>
      <c r="G54" s="41">
        <v>0</v>
      </c>
      <c r="H54" s="41">
        <f t="shared" si="3"/>
        <v>0</v>
      </c>
      <c r="I54" s="45">
        <v>3284</v>
      </c>
      <c r="J54" s="43"/>
      <c r="K54" s="43"/>
    </row>
    <row r="55" spans="1:16" ht="12.75" customHeight="1" x14ac:dyDescent="0.2">
      <c r="A55" s="40">
        <v>8</v>
      </c>
      <c r="B55" s="40">
        <v>2022</v>
      </c>
      <c r="C55" s="40" t="str">
        <f t="shared" si="2"/>
        <v>Rent: 1</v>
      </c>
      <c r="D55" s="77" t="s">
        <v>441</v>
      </c>
      <c r="E55" s="40" t="s">
        <v>217</v>
      </c>
      <c r="F55" s="41">
        <v>0</v>
      </c>
      <c r="G55" s="41">
        <v>3200</v>
      </c>
      <c r="H55" s="41">
        <f t="shared" si="3"/>
        <v>3200</v>
      </c>
      <c r="I55" s="43">
        <v>3285</v>
      </c>
      <c r="J55" s="43"/>
      <c r="K55" s="43"/>
    </row>
    <row r="56" spans="1:16" ht="12.75" customHeight="1" x14ac:dyDescent="0.2">
      <c r="A56" s="40">
        <v>8</v>
      </c>
      <c r="B56" s="40">
        <v>2022</v>
      </c>
      <c r="C56" s="40" t="str">
        <f t="shared" si="2"/>
        <v>Income: 1</v>
      </c>
      <c r="D56" s="77" t="s">
        <v>478</v>
      </c>
      <c r="E56" s="40" t="s">
        <v>49</v>
      </c>
      <c r="F56" s="41">
        <v>3200</v>
      </c>
      <c r="G56" s="41">
        <v>0</v>
      </c>
      <c r="H56" s="41">
        <f t="shared" si="3"/>
        <v>0</v>
      </c>
      <c r="I56" s="40">
        <v>3286</v>
      </c>
      <c r="J56" s="43"/>
      <c r="K56" s="43"/>
      <c r="N56" s="34"/>
      <c r="O56" s="34"/>
    </row>
    <row r="57" spans="1:16" ht="12.75" customHeight="1" x14ac:dyDescent="0.2">
      <c r="A57" s="40">
        <v>9</v>
      </c>
      <c r="B57" s="40">
        <v>2022</v>
      </c>
      <c r="C57" s="40" t="str">
        <f t="shared" si="2"/>
        <v>Rent: 1</v>
      </c>
      <c r="D57" s="77" t="s">
        <v>442</v>
      </c>
      <c r="E57" s="40" t="s">
        <v>220</v>
      </c>
      <c r="F57" s="41">
        <v>0</v>
      </c>
      <c r="G57" s="41">
        <v>3200</v>
      </c>
      <c r="H57" s="41">
        <f t="shared" si="3"/>
        <v>3200</v>
      </c>
      <c r="I57" s="45">
        <v>3287</v>
      </c>
      <c r="J57" s="43"/>
      <c r="K57" s="43"/>
      <c r="N57" s="27"/>
      <c r="P57" s="34"/>
    </row>
    <row r="58" spans="1:16" ht="12.75" customHeight="1" x14ac:dyDescent="0.2">
      <c r="A58" s="40">
        <v>9</v>
      </c>
      <c r="B58" s="40">
        <v>2022</v>
      </c>
      <c r="C58" s="40" t="str">
        <f t="shared" si="2"/>
        <v>Income: 1</v>
      </c>
      <c r="D58" s="77" t="s">
        <v>221</v>
      </c>
      <c r="E58" s="40" t="s">
        <v>49</v>
      </c>
      <c r="F58" s="41">
        <v>2000</v>
      </c>
      <c r="G58" s="41">
        <v>0</v>
      </c>
      <c r="H58" s="41">
        <f t="shared" si="3"/>
        <v>1200</v>
      </c>
      <c r="I58" s="43">
        <v>3288</v>
      </c>
      <c r="J58" s="43"/>
      <c r="K58" s="43"/>
      <c r="L58" s="31"/>
      <c r="N58" s="27"/>
      <c r="P58" s="34"/>
    </row>
    <row r="59" spans="1:16" ht="12.75" customHeight="1" x14ac:dyDescent="0.2">
      <c r="A59" s="40">
        <v>9</v>
      </c>
      <c r="B59" s="40">
        <v>2022</v>
      </c>
      <c r="C59" s="40" t="str">
        <f t="shared" si="2"/>
        <v>Income: 1</v>
      </c>
      <c r="D59" s="77" t="s">
        <v>221</v>
      </c>
      <c r="E59" s="40" t="s">
        <v>49</v>
      </c>
      <c r="F59" s="41">
        <v>1200</v>
      </c>
      <c r="G59" s="41">
        <v>0</v>
      </c>
      <c r="H59" s="41">
        <f t="shared" si="3"/>
        <v>0</v>
      </c>
      <c r="I59" s="43">
        <v>3289</v>
      </c>
      <c r="J59" s="43"/>
      <c r="K59" s="43"/>
      <c r="N59" s="27"/>
      <c r="P59" s="34"/>
    </row>
    <row r="60" spans="1:16" ht="12.75" customHeight="1" x14ac:dyDescent="0.2">
      <c r="A60" s="40">
        <v>10</v>
      </c>
      <c r="B60" s="40">
        <v>2022</v>
      </c>
      <c r="C60" s="40" t="str">
        <f t="shared" si="2"/>
        <v>Rent: 1</v>
      </c>
      <c r="D60" s="77" t="s">
        <v>445</v>
      </c>
      <c r="E60" s="40" t="s">
        <v>223</v>
      </c>
      <c r="F60" s="41">
        <v>0</v>
      </c>
      <c r="G60" s="41">
        <v>3200</v>
      </c>
      <c r="H60" s="41">
        <f t="shared" si="3"/>
        <v>3200</v>
      </c>
      <c r="I60" s="43">
        <v>3290</v>
      </c>
      <c r="J60" s="43"/>
      <c r="K60" s="43"/>
      <c r="N60" s="27"/>
      <c r="P60" s="34"/>
    </row>
    <row r="61" spans="1:16" ht="12.75" customHeight="1" x14ac:dyDescent="0.2">
      <c r="A61" s="40">
        <v>10</v>
      </c>
      <c r="B61" s="40">
        <v>2022</v>
      </c>
      <c r="C61" s="40" t="str">
        <f t="shared" si="2"/>
        <v>Income: 1</v>
      </c>
      <c r="D61" s="77" t="s">
        <v>479</v>
      </c>
      <c r="E61" s="40" t="s">
        <v>49</v>
      </c>
      <c r="F61" s="41">
        <v>2000</v>
      </c>
      <c r="G61" s="41">
        <v>0</v>
      </c>
      <c r="H61" s="41">
        <f t="shared" si="3"/>
        <v>1200</v>
      </c>
      <c r="I61" s="40">
        <v>3291</v>
      </c>
      <c r="J61" s="43"/>
      <c r="K61" s="43"/>
      <c r="N61" s="27"/>
      <c r="P61" s="34"/>
    </row>
    <row r="62" spans="1:16" ht="12.75" customHeight="1" x14ac:dyDescent="0.2">
      <c r="A62" s="40">
        <v>10</v>
      </c>
      <c r="B62" s="40">
        <v>2022</v>
      </c>
      <c r="C62" s="40" t="str">
        <f t="shared" si="2"/>
        <v>Income: 1</v>
      </c>
      <c r="D62" s="77" t="s">
        <v>480</v>
      </c>
      <c r="E62" s="40" t="s">
        <v>49</v>
      </c>
      <c r="F62" s="41">
        <v>1161.83</v>
      </c>
      <c r="G62" s="41">
        <v>0</v>
      </c>
      <c r="H62" s="41">
        <f t="shared" si="3"/>
        <v>38.170000000000073</v>
      </c>
      <c r="I62" s="43">
        <v>3292</v>
      </c>
      <c r="J62" s="43"/>
      <c r="K62" s="43"/>
      <c r="N62" s="27"/>
      <c r="P62" s="34"/>
    </row>
    <row r="63" spans="1:16" ht="12.75" customHeight="1" x14ac:dyDescent="0.2">
      <c r="A63" s="40">
        <v>10</v>
      </c>
      <c r="B63" s="40">
        <v>2022</v>
      </c>
      <c r="C63" s="40" t="str">
        <f t="shared" si="2"/>
        <v/>
      </c>
      <c r="D63" s="77" t="s">
        <v>480</v>
      </c>
      <c r="E63" s="40" t="s">
        <v>103</v>
      </c>
      <c r="F63" s="41">
        <v>38.17</v>
      </c>
      <c r="G63" s="41">
        <v>0</v>
      </c>
      <c r="H63" s="41">
        <f t="shared" si="3"/>
        <v>7.1054273576010019E-14</v>
      </c>
      <c r="I63" s="43">
        <v>3293</v>
      </c>
      <c r="J63" s="40"/>
      <c r="K63" s="45"/>
      <c r="N63" s="27"/>
      <c r="P63" s="34"/>
    </row>
    <row r="64" spans="1:16" ht="12.75" customHeight="1" x14ac:dyDescent="0.2">
      <c r="A64" s="40">
        <v>11</v>
      </c>
      <c r="B64" s="40">
        <v>2022</v>
      </c>
      <c r="C64" s="40" t="str">
        <f t="shared" si="2"/>
        <v>Rent: 1</v>
      </c>
      <c r="D64" s="77" t="s">
        <v>448</v>
      </c>
      <c r="E64" s="40" t="s">
        <v>226</v>
      </c>
      <c r="F64" s="41">
        <v>0</v>
      </c>
      <c r="G64" s="41">
        <v>3200</v>
      </c>
      <c r="H64" s="41">
        <f t="shared" si="3"/>
        <v>3200</v>
      </c>
      <c r="I64" s="40">
        <v>3294</v>
      </c>
      <c r="J64" s="45"/>
      <c r="K64" s="40"/>
      <c r="M64" s="31"/>
      <c r="N64" s="27"/>
      <c r="P64" s="34"/>
    </row>
    <row r="65" spans="1:16" ht="12.75" customHeight="1" x14ac:dyDescent="0.2">
      <c r="A65" s="40">
        <v>11</v>
      </c>
      <c r="B65" s="40">
        <v>2022</v>
      </c>
      <c r="C65" s="40" t="str">
        <f t="shared" si="2"/>
        <v>Income: 1</v>
      </c>
      <c r="D65" s="77" t="s">
        <v>481</v>
      </c>
      <c r="E65" s="40" t="s">
        <v>49</v>
      </c>
      <c r="F65" s="41">
        <v>3100</v>
      </c>
      <c r="G65" s="41">
        <v>0</v>
      </c>
      <c r="H65" s="41">
        <f t="shared" si="3"/>
        <v>100</v>
      </c>
      <c r="I65" s="43">
        <v>3295</v>
      </c>
      <c r="J65" s="43"/>
      <c r="K65" s="43"/>
      <c r="N65" s="27"/>
      <c r="P65" s="34"/>
    </row>
    <row r="66" spans="1:16" ht="12.75" customHeight="1" x14ac:dyDescent="0.2">
      <c r="A66" s="40">
        <v>11</v>
      </c>
      <c r="B66" s="40">
        <v>2022</v>
      </c>
      <c r="C66" s="40" t="str">
        <f t="shared" si="2"/>
        <v>Income: 1</v>
      </c>
      <c r="D66" s="77" t="s">
        <v>481</v>
      </c>
      <c r="E66" s="40" t="s">
        <v>49</v>
      </c>
      <c r="F66" s="41">
        <v>100</v>
      </c>
      <c r="G66" s="41">
        <v>0</v>
      </c>
      <c r="H66" s="41">
        <f t="shared" si="3"/>
        <v>0</v>
      </c>
      <c r="I66" s="43">
        <v>3296</v>
      </c>
      <c r="J66" s="43"/>
      <c r="K66" s="43"/>
      <c r="M66" s="31"/>
      <c r="N66" s="27"/>
      <c r="O66" s="34"/>
      <c r="P66" s="34"/>
    </row>
    <row r="67" spans="1:16" ht="12.75" customHeight="1" x14ac:dyDescent="0.2">
      <c r="A67" s="40">
        <v>12</v>
      </c>
      <c r="B67" s="40">
        <v>2022</v>
      </c>
      <c r="C67" s="40" t="str">
        <f t="shared" si="2"/>
        <v>Rent: 1</v>
      </c>
      <c r="D67" s="77" t="s">
        <v>450</v>
      </c>
      <c r="E67" s="40" t="s">
        <v>229</v>
      </c>
      <c r="F67" s="41">
        <v>0</v>
      </c>
      <c r="G67" s="41">
        <v>3200</v>
      </c>
      <c r="H67" s="41">
        <f t="shared" si="3"/>
        <v>3200</v>
      </c>
      <c r="I67" s="40">
        <v>3297</v>
      </c>
      <c r="J67" s="45"/>
      <c r="K67" s="43"/>
      <c r="N67" s="27"/>
      <c r="P67" s="34"/>
    </row>
    <row r="68" spans="1:16" ht="12.75" customHeight="1" x14ac:dyDescent="0.2">
      <c r="A68" s="40">
        <v>12</v>
      </c>
      <c r="B68" s="40">
        <v>2022</v>
      </c>
      <c r="C68" s="40" t="str">
        <f t="shared" si="2"/>
        <v>Income: 1</v>
      </c>
      <c r="D68" s="77" t="s">
        <v>230</v>
      </c>
      <c r="E68" s="40" t="s">
        <v>49</v>
      </c>
      <c r="F68" s="41">
        <v>2000</v>
      </c>
      <c r="G68" s="41">
        <v>0</v>
      </c>
      <c r="H68" s="41">
        <f t="shared" si="3"/>
        <v>1200</v>
      </c>
      <c r="I68" s="43">
        <v>3298</v>
      </c>
      <c r="J68" s="43"/>
      <c r="K68" s="43"/>
      <c r="N68" s="27"/>
      <c r="P68" s="34"/>
    </row>
    <row r="69" spans="1:16" ht="12.75" customHeight="1" x14ac:dyDescent="0.2">
      <c r="A69" s="40">
        <v>11</v>
      </c>
      <c r="B69" s="40">
        <v>2022</v>
      </c>
      <c r="C69" s="40" t="str">
        <f t="shared" ref="C69:C100" si="4">IFERROR("Late Fee "&amp;FIND("Late Fee",E69),IFERROR("Internet "&amp;FIND("Internet",E69),IFERROR("Utilities "&amp;FIND("Utilities",E69),IFERROR("Rent: "&amp;FIND("Rent",E69),IFERROR("Priv Tax: "&amp;FIND("Tax",E69),IFERROR("Income: "&amp;FIND("Payment",E69,1),""))))))</f>
        <v>Income: 1</v>
      </c>
      <c r="D69" s="77" t="s">
        <v>481</v>
      </c>
      <c r="E69" s="40" t="s">
        <v>49</v>
      </c>
      <c r="F69" s="41">
        <v>1200</v>
      </c>
      <c r="G69" s="41">
        <v>0</v>
      </c>
      <c r="H69" s="41">
        <f t="shared" si="3"/>
        <v>0</v>
      </c>
      <c r="I69" s="43">
        <v>3299</v>
      </c>
      <c r="J69" s="43"/>
      <c r="K69" s="43"/>
      <c r="N69" s="27"/>
      <c r="P69" s="34"/>
    </row>
    <row r="70" spans="1:16" ht="12.75" customHeight="1" x14ac:dyDescent="0.2">
      <c r="A70" s="40">
        <v>3</v>
      </c>
      <c r="B70" s="40">
        <v>2020</v>
      </c>
      <c r="C70" s="40" t="str">
        <f t="shared" si="4"/>
        <v/>
      </c>
      <c r="D70" s="77" t="s">
        <v>380</v>
      </c>
      <c r="E70" s="40" t="s">
        <v>48</v>
      </c>
      <c r="F70" s="41">
        <v>0</v>
      </c>
      <c r="G70" s="41">
        <v>3200</v>
      </c>
      <c r="H70" s="41">
        <f t="shared" ref="H70:H101" si="5" xml:space="preserve"> H69 + G70 - F70</f>
        <v>3200</v>
      </c>
      <c r="I70" s="40">
        <v>3195</v>
      </c>
      <c r="J70" s="45"/>
      <c r="K70" s="45"/>
      <c r="N70" s="27"/>
      <c r="P70" s="34"/>
    </row>
    <row r="71" spans="1:16" ht="12.75" customHeight="1" x14ac:dyDescent="0.2">
      <c r="A71" s="40">
        <v>3</v>
      </c>
      <c r="B71" s="40">
        <v>2020</v>
      </c>
      <c r="C71" s="40" t="str">
        <f t="shared" si="4"/>
        <v>Income: 1</v>
      </c>
      <c r="D71" s="77" t="s">
        <v>381</v>
      </c>
      <c r="E71" s="40" t="s">
        <v>49</v>
      </c>
      <c r="F71" s="41">
        <v>2000</v>
      </c>
      <c r="G71" s="41">
        <v>0</v>
      </c>
      <c r="H71" s="41">
        <f t="shared" si="5"/>
        <v>1200</v>
      </c>
      <c r="I71" s="43">
        <v>3196</v>
      </c>
      <c r="J71" s="43"/>
      <c r="K71" s="41"/>
      <c r="N71" s="27"/>
      <c r="P71" s="34"/>
    </row>
    <row r="72" spans="1:16" ht="12.75" customHeight="1" x14ac:dyDescent="0.2">
      <c r="A72" s="40">
        <v>3</v>
      </c>
      <c r="B72" s="40">
        <v>2020</v>
      </c>
      <c r="C72" s="40" t="str">
        <f t="shared" si="4"/>
        <v>Income: 1</v>
      </c>
      <c r="D72" s="77" t="s">
        <v>482</v>
      </c>
      <c r="E72" s="40" t="s">
        <v>49</v>
      </c>
      <c r="F72" s="41">
        <v>3400</v>
      </c>
      <c r="G72" s="41">
        <v>0</v>
      </c>
      <c r="H72" s="41">
        <f t="shared" si="5"/>
        <v>-2200</v>
      </c>
      <c r="I72" s="43">
        <v>3197</v>
      </c>
      <c r="J72" s="43"/>
      <c r="K72" s="43"/>
      <c r="N72" s="27"/>
      <c r="P72" s="34"/>
    </row>
    <row r="73" spans="1:16" ht="12.75" customHeight="1" x14ac:dyDescent="0.2">
      <c r="A73" s="40">
        <v>4</v>
      </c>
      <c r="B73" s="40">
        <v>2020</v>
      </c>
      <c r="C73" s="40" t="str">
        <f t="shared" si="4"/>
        <v>Rent: 1</v>
      </c>
      <c r="D73" s="77" t="s">
        <v>483</v>
      </c>
      <c r="E73" s="40" t="s">
        <v>132</v>
      </c>
      <c r="F73" s="41">
        <v>0</v>
      </c>
      <c r="G73" s="41">
        <v>3200</v>
      </c>
      <c r="H73" s="41">
        <f t="shared" si="5"/>
        <v>1000</v>
      </c>
      <c r="I73" s="40">
        <v>3198</v>
      </c>
      <c r="J73" s="45"/>
      <c r="K73" s="43"/>
      <c r="N73" s="27"/>
      <c r="P73" s="34"/>
    </row>
    <row r="74" spans="1:16" ht="12.75" customHeight="1" x14ac:dyDescent="0.2">
      <c r="A74" s="40">
        <v>4</v>
      </c>
      <c r="B74" s="40">
        <v>2020</v>
      </c>
      <c r="C74" s="40" t="str">
        <f t="shared" si="4"/>
        <v>Income: 1</v>
      </c>
      <c r="D74" s="77" t="s">
        <v>382</v>
      </c>
      <c r="E74" s="40" t="s">
        <v>49</v>
      </c>
      <c r="F74" s="41">
        <v>2000</v>
      </c>
      <c r="G74" s="41">
        <v>0</v>
      </c>
      <c r="H74" s="41">
        <f t="shared" si="5"/>
        <v>-1000</v>
      </c>
      <c r="I74" s="43">
        <v>3199</v>
      </c>
      <c r="J74" s="43"/>
      <c r="K74" s="43"/>
      <c r="L74" s="31"/>
      <c r="N74" s="27"/>
      <c r="P74" s="34"/>
    </row>
    <row r="75" spans="1:16" ht="12.75" customHeight="1" x14ac:dyDescent="0.2">
      <c r="A75" s="40">
        <v>4</v>
      </c>
      <c r="B75" s="40">
        <v>2020</v>
      </c>
      <c r="C75" s="40" t="str">
        <f t="shared" si="4"/>
        <v>Income: 1</v>
      </c>
      <c r="D75" s="77" t="s">
        <v>484</v>
      </c>
      <c r="E75" s="40" t="s">
        <v>49</v>
      </c>
      <c r="F75" s="41">
        <v>1080</v>
      </c>
      <c r="G75" s="41">
        <v>0</v>
      </c>
      <c r="H75" s="41">
        <f t="shared" si="5"/>
        <v>-2080</v>
      </c>
      <c r="I75" s="43">
        <v>3200</v>
      </c>
      <c r="J75" s="43"/>
      <c r="K75" s="43"/>
      <c r="N75" s="27"/>
      <c r="P75" s="34"/>
    </row>
    <row r="76" spans="1:16" ht="12.75" customHeight="1" x14ac:dyDescent="0.2">
      <c r="A76" s="40">
        <v>4</v>
      </c>
      <c r="B76" s="40">
        <v>2020</v>
      </c>
      <c r="C76" s="40" t="str">
        <f t="shared" si="4"/>
        <v/>
      </c>
      <c r="D76" s="77" t="s">
        <v>484</v>
      </c>
      <c r="E76" s="40" t="s">
        <v>63</v>
      </c>
      <c r="F76" s="41">
        <v>120</v>
      </c>
      <c r="G76" s="41">
        <v>0</v>
      </c>
      <c r="H76" s="41">
        <f t="shared" si="5"/>
        <v>-2200</v>
      </c>
      <c r="I76" s="40">
        <v>3201</v>
      </c>
      <c r="J76" s="45"/>
      <c r="K76" s="43"/>
      <c r="N76" s="27"/>
      <c r="P76" s="34"/>
    </row>
    <row r="77" spans="1:16" ht="12.75" customHeight="1" x14ac:dyDescent="0.2">
      <c r="A77" s="40">
        <v>5</v>
      </c>
      <c r="B77" s="40">
        <v>2020</v>
      </c>
      <c r="C77" s="40" t="str">
        <f t="shared" si="4"/>
        <v>Rent: 1</v>
      </c>
      <c r="D77" s="77" t="s">
        <v>136</v>
      </c>
      <c r="E77" s="40" t="s">
        <v>135</v>
      </c>
      <c r="F77" s="41">
        <v>0</v>
      </c>
      <c r="G77" s="41">
        <v>3200</v>
      </c>
      <c r="H77" s="41">
        <f t="shared" si="5"/>
        <v>1000</v>
      </c>
      <c r="I77" s="43">
        <v>3202</v>
      </c>
      <c r="J77" s="43"/>
      <c r="K77" s="43"/>
      <c r="N77" s="27"/>
      <c r="P77" s="34"/>
    </row>
    <row r="78" spans="1:16" ht="12.75" customHeight="1" x14ac:dyDescent="0.2">
      <c r="A78" s="40">
        <v>5</v>
      </c>
      <c r="B78" s="40">
        <v>2020</v>
      </c>
      <c r="C78" s="40" t="str">
        <f t="shared" si="4"/>
        <v>Income: 1</v>
      </c>
      <c r="D78" s="77" t="s">
        <v>384</v>
      </c>
      <c r="E78" s="40" t="s">
        <v>49</v>
      </c>
      <c r="F78" s="41">
        <v>2000</v>
      </c>
      <c r="G78" s="41">
        <v>0</v>
      </c>
      <c r="H78" s="41">
        <f t="shared" si="5"/>
        <v>-1000</v>
      </c>
      <c r="I78" s="43">
        <v>3203</v>
      </c>
      <c r="J78" s="43"/>
      <c r="K78" s="43"/>
      <c r="N78" s="27"/>
      <c r="P78" s="34"/>
    </row>
    <row r="79" spans="1:16" ht="12.75" customHeight="1" x14ac:dyDescent="0.2">
      <c r="A79" s="40">
        <v>5</v>
      </c>
      <c r="B79" s="40">
        <v>2020</v>
      </c>
      <c r="C79" s="40" t="str">
        <f t="shared" si="4"/>
        <v>Income: 1</v>
      </c>
      <c r="D79" s="77" t="s">
        <v>485</v>
      </c>
      <c r="E79" s="40" t="s">
        <v>49</v>
      </c>
      <c r="F79" s="41">
        <v>1200</v>
      </c>
      <c r="G79" s="41">
        <v>0</v>
      </c>
      <c r="H79" s="41">
        <f t="shared" si="5"/>
        <v>-2200</v>
      </c>
      <c r="I79" s="40">
        <v>3204</v>
      </c>
      <c r="J79" s="45"/>
      <c r="K79" s="43"/>
      <c r="N79" s="27"/>
      <c r="P79" s="34"/>
    </row>
    <row r="80" spans="1:16" ht="12.75" customHeight="1" x14ac:dyDescent="0.2">
      <c r="A80" s="40">
        <v>6</v>
      </c>
      <c r="B80" s="40">
        <v>2020</v>
      </c>
      <c r="C80" s="40" t="str">
        <f t="shared" si="4"/>
        <v>Rent: 1</v>
      </c>
      <c r="D80" s="77" t="s">
        <v>486</v>
      </c>
      <c r="E80" s="40" t="s">
        <v>138</v>
      </c>
      <c r="F80" s="41">
        <v>0</v>
      </c>
      <c r="G80" s="41">
        <v>3200</v>
      </c>
      <c r="H80" s="41">
        <f t="shared" si="5"/>
        <v>1000</v>
      </c>
      <c r="I80" s="43">
        <v>3205</v>
      </c>
      <c r="J80" s="43"/>
      <c r="K80" s="43"/>
      <c r="N80" s="27"/>
      <c r="P80" s="34"/>
    </row>
    <row r="81" spans="1:16" ht="12.75" customHeight="1" x14ac:dyDescent="0.2">
      <c r="A81" s="40">
        <v>6</v>
      </c>
      <c r="B81" s="40">
        <v>2020</v>
      </c>
      <c r="C81" s="40" t="str">
        <f t="shared" si="4"/>
        <v>Income: 1</v>
      </c>
      <c r="D81" s="77" t="s">
        <v>386</v>
      </c>
      <c r="E81" s="40" t="s">
        <v>49</v>
      </c>
      <c r="F81" s="41">
        <v>2000</v>
      </c>
      <c r="G81" s="41">
        <v>0</v>
      </c>
      <c r="H81" s="41">
        <f t="shared" si="5"/>
        <v>-1000</v>
      </c>
      <c r="I81" s="43">
        <v>3206</v>
      </c>
      <c r="J81" s="43"/>
      <c r="K81" s="43"/>
      <c r="N81" s="34"/>
      <c r="P81" s="34"/>
    </row>
    <row r="82" spans="1:16" ht="12.75" customHeight="1" x14ac:dyDescent="0.2">
      <c r="A82" s="40">
        <v>6</v>
      </c>
      <c r="B82" s="40">
        <v>2020</v>
      </c>
      <c r="C82" s="40" t="str">
        <f t="shared" si="4"/>
        <v>Income: 1</v>
      </c>
      <c r="D82" s="77" t="s">
        <v>487</v>
      </c>
      <c r="E82" s="40" t="s">
        <v>49</v>
      </c>
      <c r="F82" s="41">
        <v>1200</v>
      </c>
      <c r="G82" s="41">
        <v>0</v>
      </c>
      <c r="H82" s="41">
        <f t="shared" si="5"/>
        <v>-2200</v>
      </c>
      <c r="I82" s="40">
        <v>3207</v>
      </c>
      <c r="J82" s="45"/>
      <c r="K82" s="43"/>
      <c r="N82" s="34"/>
    </row>
    <row r="83" spans="1:16" ht="12.75" customHeight="1" x14ac:dyDescent="0.2">
      <c r="A83" s="40">
        <v>7</v>
      </c>
      <c r="B83" s="40">
        <v>2020</v>
      </c>
      <c r="C83" s="40" t="str">
        <f t="shared" si="4"/>
        <v>Rent: 1</v>
      </c>
      <c r="D83" s="77" t="s">
        <v>488</v>
      </c>
      <c r="E83" s="40" t="s">
        <v>142</v>
      </c>
      <c r="F83" s="41">
        <v>0</v>
      </c>
      <c r="G83" s="41">
        <v>3200</v>
      </c>
      <c r="H83" s="41">
        <f t="shared" si="5"/>
        <v>1000</v>
      </c>
      <c r="I83" s="43">
        <v>3208</v>
      </c>
      <c r="J83" s="43"/>
      <c r="K83" s="40"/>
      <c r="N83" s="34"/>
    </row>
    <row r="84" spans="1:16" ht="12.75" customHeight="1" x14ac:dyDescent="0.2">
      <c r="A84" s="40">
        <v>7</v>
      </c>
      <c r="B84" s="40">
        <v>2020</v>
      </c>
      <c r="C84" s="40" t="str">
        <f t="shared" si="4"/>
        <v>Income: 1</v>
      </c>
      <c r="D84" s="77" t="s">
        <v>143</v>
      </c>
      <c r="E84" s="40" t="s">
        <v>49</v>
      </c>
      <c r="F84" s="41">
        <v>2000</v>
      </c>
      <c r="G84" s="41">
        <v>0</v>
      </c>
      <c r="H84" s="41">
        <f t="shared" si="5"/>
        <v>-1000</v>
      </c>
      <c r="I84" s="43">
        <v>3209</v>
      </c>
      <c r="J84" s="45"/>
      <c r="K84" s="45"/>
      <c r="N84" s="34"/>
    </row>
    <row r="85" spans="1:16" ht="12.75" customHeight="1" x14ac:dyDescent="0.2">
      <c r="A85" s="40">
        <v>7</v>
      </c>
      <c r="B85" s="40">
        <v>2020</v>
      </c>
      <c r="C85" s="40" t="str">
        <f t="shared" si="4"/>
        <v>Income: 1</v>
      </c>
      <c r="D85" s="77" t="s">
        <v>489</v>
      </c>
      <c r="E85" s="40" t="s">
        <v>49</v>
      </c>
      <c r="F85" s="41">
        <v>1200</v>
      </c>
      <c r="G85" s="41">
        <v>0</v>
      </c>
      <c r="H85" s="41">
        <f t="shared" si="5"/>
        <v>-2200</v>
      </c>
      <c r="I85" s="43">
        <v>3210</v>
      </c>
      <c r="J85" s="43"/>
      <c r="K85" s="43"/>
      <c r="N85" s="34"/>
    </row>
    <row r="86" spans="1:16" ht="12.75" customHeight="1" x14ac:dyDescent="0.2">
      <c r="A86" s="40">
        <v>8</v>
      </c>
      <c r="B86" s="40">
        <v>2020</v>
      </c>
      <c r="C86" s="40" t="str">
        <f t="shared" si="4"/>
        <v>Rent: 1</v>
      </c>
      <c r="D86" s="77" t="s">
        <v>490</v>
      </c>
      <c r="E86" s="40" t="s">
        <v>145</v>
      </c>
      <c r="F86" s="41">
        <v>0</v>
      </c>
      <c r="G86" s="41">
        <v>3200</v>
      </c>
      <c r="H86" s="41">
        <f t="shared" si="5"/>
        <v>1000</v>
      </c>
      <c r="I86" s="43">
        <v>3211</v>
      </c>
      <c r="J86" s="43"/>
      <c r="K86" s="43"/>
      <c r="N86" s="34"/>
    </row>
    <row r="87" spans="1:16" ht="12.75" customHeight="1" x14ac:dyDescent="0.2">
      <c r="A87" s="40">
        <v>8</v>
      </c>
      <c r="B87" s="40">
        <v>2020</v>
      </c>
      <c r="C87" s="40" t="str">
        <f t="shared" si="4"/>
        <v>Income: 1</v>
      </c>
      <c r="D87" s="77" t="s">
        <v>392</v>
      </c>
      <c r="E87" s="40" t="s">
        <v>49</v>
      </c>
      <c r="F87" s="41">
        <v>200</v>
      </c>
      <c r="G87" s="41">
        <v>0</v>
      </c>
      <c r="H87" s="41">
        <f t="shared" si="5"/>
        <v>800</v>
      </c>
      <c r="I87" s="40">
        <v>3212</v>
      </c>
      <c r="J87" s="45"/>
      <c r="K87" s="40"/>
      <c r="N87" s="34"/>
    </row>
    <row r="88" spans="1:16" ht="12.75" customHeight="1" x14ac:dyDescent="0.2">
      <c r="A88" s="40">
        <v>8</v>
      </c>
      <c r="B88" s="40">
        <v>2020</v>
      </c>
      <c r="C88" s="40" t="str">
        <f t="shared" si="4"/>
        <v>Income: 1</v>
      </c>
      <c r="D88" s="77" t="s">
        <v>392</v>
      </c>
      <c r="E88" s="40" t="s">
        <v>49</v>
      </c>
      <c r="F88" s="41">
        <v>2000</v>
      </c>
      <c r="G88" s="41">
        <v>0</v>
      </c>
      <c r="H88" s="41">
        <f t="shared" si="5"/>
        <v>-1200</v>
      </c>
      <c r="I88" s="40">
        <v>3213</v>
      </c>
      <c r="J88" s="43"/>
      <c r="K88" s="43"/>
      <c r="N88" s="34"/>
    </row>
    <row r="89" spans="1:16" ht="12.75" customHeight="1" x14ac:dyDescent="0.2">
      <c r="A89" s="40">
        <v>9</v>
      </c>
      <c r="B89" s="40">
        <v>2020</v>
      </c>
      <c r="C89" s="40" t="str">
        <f t="shared" si="4"/>
        <v>Rent: 1</v>
      </c>
      <c r="D89" s="77" t="s">
        <v>491</v>
      </c>
      <c r="E89" s="40" t="s">
        <v>148</v>
      </c>
      <c r="F89" s="41">
        <v>0</v>
      </c>
      <c r="G89" s="41">
        <v>3200</v>
      </c>
      <c r="H89" s="41">
        <f t="shared" si="5"/>
        <v>2000</v>
      </c>
      <c r="I89" s="43">
        <v>3214</v>
      </c>
      <c r="J89" s="43"/>
      <c r="K89" s="43"/>
      <c r="N89" s="34"/>
    </row>
    <row r="90" spans="1:16" ht="12.75" customHeight="1" x14ac:dyDescent="0.2">
      <c r="A90" s="40">
        <v>9</v>
      </c>
      <c r="B90" s="40">
        <v>2020</v>
      </c>
      <c r="C90" s="40" t="str">
        <f t="shared" si="4"/>
        <v>Income: 1</v>
      </c>
      <c r="D90" s="77" t="s">
        <v>492</v>
      </c>
      <c r="E90" s="40" t="s">
        <v>49</v>
      </c>
      <c r="F90" s="41">
        <v>1500</v>
      </c>
      <c r="G90" s="41">
        <v>0</v>
      </c>
      <c r="H90" s="41">
        <f t="shared" si="5"/>
        <v>500</v>
      </c>
      <c r="I90" s="43">
        <v>3215</v>
      </c>
      <c r="J90" s="43"/>
      <c r="K90" s="43"/>
      <c r="N90" s="34"/>
    </row>
    <row r="91" spans="1:16" ht="12.75" customHeight="1" x14ac:dyDescent="0.2">
      <c r="A91" s="40">
        <v>9</v>
      </c>
      <c r="B91" s="40">
        <v>2020</v>
      </c>
      <c r="C91" s="40" t="str">
        <f t="shared" si="4"/>
        <v>Income: 1</v>
      </c>
      <c r="D91" s="77" t="s">
        <v>493</v>
      </c>
      <c r="E91" s="40" t="s">
        <v>49</v>
      </c>
      <c r="F91" s="41">
        <v>700</v>
      </c>
      <c r="G91" s="41">
        <v>0</v>
      </c>
      <c r="H91" s="41">
        <f t="shared" si="5"/>
        <v>-200</v>
      </c>
      <c r="I91" s="40">
        <v>3216</v>
      </c>
      <c r="J91" s="43"/>
      <c r="K91" s="43"/>
      <c r="N91" s="34"/>
    </row>
    <row r="92" spans="1:16" ht="12.75" customHeight="1" x14ac:dyDescent="0.2">
      <c r="A92" s="40">
        <v>10</v>
      </c>
      <c r="B92" s="40">
        <v>2020</v>
      </c>
      <c r="C92" s="40" t="str">
        <f t="shared" si="4"/>
        <v>Rent: 1</v>
      </c>
      <c r="D92" s="77" t="s">
        <v>494</v>
      </c>
      <c r="E92" s="40" t="s">
        <v>151</v>
      </c>
      <c r="F92" s="41">
        <v>0</v>
      </c>
      <c r="G92" s="41">
        <v>3200</v>
      </c>
      <c r="H92" s="41">
        <f t="shared" si="5"/>
        <v>3000</v>
      </c>
      <c r="I92" s="43">
        <v>3217</v>
      </c>
      <c r="J92" s="43"/>
      <c r="K92" s="43"/>
      <c r="N92" s="34"/>
    </row>
    <row r="93" spans="1:16" ht="12.75" customHeight="1" x14ac:dyDescent="0.2">
      <c r="A93" s="40">
        <v>10</v>
      </c>
      <c r="B93" s="40">
        <v>2020</v>
      </c>
      <c r="C93" s="40" t="str">
        <f t="shared" si="4"/>
        <v>Income: 1</v>
      </c>
      <c r="D93" s="77" t="s">
        <v>494</v>
      </c>
      <c r="E93" s="40" t="s">
        <v>49</v>
      </c>
      <c r="F93" s="41">
        <v>2000</v>
      </c>
      <c r="G93" s="41">
        <v>0</v>
      </c>
      <c r="H93" s="41">
        <f t="shared" si="5"/>
        <v>1000</v>
      </c>
      <c r="I93" s="43">
        <v>3218</v>
      </c>
      <c r="J93" s="43"/>
      <c r="K93" s="43"/>
      <c r="N93" s="34"/>
    </row>
    <row r="94" spans="1:16" ht="12.75" customHeight="1" x14ac:dyDescent="0.2">
      <c r="A94" s="40">
        <v>10</v>
      </c>
      <c r="B94" s="40">
        <v>2020</v>
      </c>
      <c r="C94" s="40" t="str">
        <f t="shared" si="4"/>
        <v>Income: 1</v>
      </c>
      <c r="D94" s="77" t="s">
        <v>494</v>
      </c>
      <c r="E94" s="40" t="s">
        <v>49</v>
      </c>
      <c r="F94" s="41">
        <v>200</v>
      </c>
      <c r="G94" s="41">
        <v>0</v>
      </c>
      <c r="H94" s="41">
        <f t="shared" si="5"/>
        <v>800</v>
      </c>
      <c r="I94" s="40">
        <v>3219</v>
      </c>
      <c r="J94" s="43"/>
      <c r="K94" s="43"/>
    </row>
    <row r="95" spans="1:16" ht="12.75" customHeight="1" x14ac:dyDescent="0.2">
      <c r="A95" s="40">
        <v>11</v>
      </c>
      <c r="B95" s="40">
        <v>2020</v>
      </c>
      <c r="C95" s="40" t="str">
        <f t="shared" si="4"/>
        <v>Rent: 1</v>
      </c>
      <c r="D95" s="77" t="s">
        <v>495</v>
      </c>
      <c r="E95" s="40" t="s">
        <v>154</v>
      </c>
      <c r="F95" s="41">
        <v>0</v>
      </c>
      <c r="G95" s="41">
        <v>3200</v>
      </c>
      <c r="H95" s="41">
        <f t="shared" si="5"/>
        <v>4000</v>
      </c>
      <c r="I95" s="43">
        <v>3220</v>
      </c>
      <c r="J95" s="43"/>
      <c r="K95" s="43"/>
    </row>
    <row r="96" spans="1:16" ht="12.75" customHeight="1" x14ac:dyDescent="0.2">
      <c r="A96" s="40">
        <v>11</v>
      </c>
      <c r="B96" s="40">
        <v>2020</v>
      </c>
      <c r="C96" s="40" t="str">
        <f t="shared" si="4"/>
        <v>Income: 1</v>
      </c>
      <c r="D96" s="77" t="s">
        <v>496</v>
      </c>
      <c r="E96" s="40" t="s">
        <v>49</v>
      </c>
      <c r="F96" s="41">
        <v>2000</v>
      </c>
      <c r="G96" s="41">
        <v>0</v>
      </c>
      <c r="H96" s="41">
        <f t="shared" si="5"/>
        <v>2000</v>
      </c>
      <c r="I96" s="43">
        <v>3221</v>
      </c>
      <c r="J96" s="43"/>
      <c r="K96" s="43"/>
    </row>
    <row r="97" spans="1:11" ht="12.75" customHeight="1" x14ac:dyDescent="0.2">
      <c r="A97" s="40">
        <v>11</v>
      </c>
      <c r="B97" s="40">
        <v>2020</v>
      </c>
      <c r="C97" s="40" t="str">
        <f t="shared" si="4"/>
        <v>Income: 1</v>
      </c>
      <c r="D97" s="77" t="s">
        <v>497</v>
      </c>
      <c r="E97" s="40" t="s">
        <v>49</v>
      </c>
      <c r="F97" s="41">
        <v>1700</v>
      </c>
      <c r="G97" s="41">
        <v>0</v>
      </c>
      <c r="H97" s="41">
        <f t="shared" si="5"/>
        <v>300</v>
      </c>
      <c r="I97" s="40">
        <v>3222</v>
      </c>
      <c r="J97" s="43"/>
      <c r="K97" s="43"/>
    </row>
    <row r="98" spans="1:11" ht="12.75" customHeight="1" x14ac:dyDescent="0.2">
      <c r="A98" s="40">
        <v>12</v>
      </c>
      <c r="B98" s="40">
        <v>2020</v>
      </c>
      <c r="C98" s="40" t="str">
        <f t="shared" si="4"/>
        <v>Rent: 1</v>
      </c>
      <c r="D98" s="77" t="s">
        <v>498</v>
      </c>
      <c r="E98" s="40" t="s">
        <v>157</v>
      </c>
      <c r="F98" s="41">
        <v>0</v>
      </c>
      <c r="G98" s="41">
        <v>3200</v>
      </c>
      <c r="H98" s="41">
        <f t="shared" si="5"/>
        <v>3500</v>
      </c>
      <c r="I98" s="43">
        <v>3223</v>
      </c>
      <c r="J98" s="43"/>
      <c r="K98" s="43"/>
    </row>
    <row r="99" spans="1:11" ht="12.75" customHeight="1" x14ac:dyDescent="0.2">
      <c r="A99" s="40">
        <v>12</v>
      </c>
      <c r="B99" s="40">
        <v>2020</v>
      </c>
      <c r="C99" s="40" t="str">
        <f t="shared" si="4"/>
        <v>Income: 1</v>
      </c>
      <c r="D99" s="77" t="s">
        <v>158</v>
      </c>
      <c r="E99" s="40" t="s">
        <v>49</v>
      </c>
      <c r="F99" s="41">
        <v>2000</v>
      </c>
      <c r="G99" s="41">
        <v>0</v>
      </c>
      <c r="H99" s="41">
        <f t="shared" si="5"/>
        <v>1500</v>
      </c>
      <c r="I99" s="43">
        <v>3224</v>
      </c>
      <c r="J99" s="43"/>
      <c r="K99" s="43"/>
    </row>
    <row r="100" spans="1:11" ht="12.75" customHeight="1" x14ac:dyDescent="0.2">
      <c r="A100" s="40">
        <v>12</v>
      </c>
      <c r="B100" s="40">
        <v>2020</v>
      </c>
      <c r="C100" s="40" t="str">
        <f t="shared" si="4"/>
        <v>Income: 1</v>
      </c>
      <c r="D100" s="77" t="s">
        <v>499</v>
      </c>
      <c r="E100" s="40" t="s">
        <v>49</v>
      </c>
      <c r="F100" s="41">
        <v>1700</v>
      </c>
      <c r="G100" s="41">
        <v>0</v>
      </c>
      <c r="H100" s="41">
        <f t="shared" si="5"/>
        <v>-200</v>
      </c>
      <c r="I100" s="40">
        <v>3225</v>
      </c>
      <c r="J100" s="43"/>
      <c r="K100" s="43"/>
    </row>
    <row r="101" spans="1:11" ht="12.75" customHeight="1" x14ac:dyDescent="0.2">
      <c r="A101" s="40">
        <v>1</v>
      </c>
      <c r="B101" s="40">
        <v>2021</v>
      </c>
      <c r="C101" s="40" t="str">
        <f t="shared" ref="C101:C111" si="6">IFERROR("Late Fee "&amp;FIND("Late Fee",E101),IFERROR("Internet "&amp;FIND("Internet",E101),IFERROR("Utilities "&amp;FIND("Utilities",E101),IFERROR("Rent: "&amp;FIND("Rent",E101),IFERROR("Priv Tax: "&amp;FIND("Tax",E101),IFERROR("Income: "&amp;FIND("Payment",E101,1),""))))))</f>
        <v>Rent: 1</v>
      </c>
      <c r="D101" s="77" t="s">
        <v>401</v>
      </c>
      <c r="E101" s="40" t="s">
        <v>402</v>
      </c>
      <c r="F101" s="41">
        <v>0</v>
      </c>
      <c r="G101" s="41">
        <v>3200</v>
      </c>
      <c r="H101" s="41">
        <f t="shared" si="5"/>
        <v>3000</v>
      </c>
      <c r="I101" s="43">
        <v>3226</v>
      </c>
      <c r="J101" s="43"/>
      <c r="K101" s="43"/>
    </row>
    <row r="102" spans="1:11" ht="12.75" customHeight="1" x14ac:dyDescent="0.2">
      <c r="A102" s="40">
        <v>1</v>
      </c>
      <c r="B102" s="40">
        <v>2021</v>
      </c>
      <c r="C102" s="40" t="str">
        <f t="shared" si="6"/>
        <v>Income: 1</v>
      </c>
      <c r="D102" s="77" t="s">
        <v>161</v>
      </c>
      <c r="E102" s="40" t="s">
        <v>49</v>
      </c>
      <c r="F102" s="41">
        <v>2000</v>
      </c>
      <c r="G102" s="41">
        <v>0</v>
      </c>
      <c r="H102" s="41">
        <f t="shared" ref="H102:H111" si="7" xml:space="preserve"> H101 + G102 - F102</f>
        <v>1000</v>
      </c>
      <c r="I102" s="43">
        <v>3227</v>
      </c>
      <c r="J102" s="43"/>
      <c r="K102" s="43"/>
    </row>
    <row r="103" spans="1:11" ht="12.75" customHeight="1" x14ac:dyDescent="0.2">
      <c r="A103" s="40">
        <v>1</v>
      </c>
      <c r="B103" s="40">
        <v>2021</v>
      </c>
      <c r="C103" s="40" t="str">
        <f t="shared" si="6"/>
        <v>Income: 1</v>
      </c>
      <c r="D103" s="77" t="s">
        <v>500</v>
      </c>
      <c r="E103" s="40" t="s">
        <v>49</v>
      </c>
      <c r="F103" s="41">
        <v>1700</v>
      </c>
      <c r="G103" s="41">
        <v>0</v>
      </c>
      <c r="H103" s="41">
        <f t="shared" si="7"/>
        <v>-700</v>
      </c>
      <c r="I103" s="40">
        <v>3228</v>
      </c>
      <c r="J103" s="43"/>
      <c r="K103" s="43"/>
    </row>
    <row r="104" spans="1:11" ht="12.75" customHeight="1" x14ac:dyDescent="0.2">
      <c r="A104" s="40">
        <v>2</v>
      </c>
      <c r="B104" s="40">
        <v>2021</v>
      </c>
      <c r="C104" s="40" t="str">
        <f t="shared" si="6"/>
        <v>Rent: 1</v>
      </c>
      <c r="D104" s="77" t="s">
        <v>405</v>
      </c>
      <c r="E104" s="40" t="s">
        <v>163</v>
      </c>
      <c r="F104" s="41">
        <v>0</v>
      </c>
      <c r="G104" s="41">
        <v>3200</v>
      </c>
      <c r="H104" s="41">
        <f t="shared" si="7"/>
        <v>2500</v>
      </c>
      <c r="I104" s="43">
        <v>3229</v>
      </c>
      <c r="J104" s="43"/>
      <c r="K104" s="43"/>
    </row>
    <row r="105" spans="1:11" ht="12.75" customHeight="1" x14ac:dyDescent="0.2">
      <c r="A105" s="40">
        <v>2</v>
      </c>
      <c r="B105" s="40">
        <v>2021</v>
      </c>
      <c r="C105" s="40" t="str">
        <f t="shared" si="6"/>
        <v>Income: 1</v>
      </c>
      <c r="D105" s="77" t="s">
        <v>501</v>
      </c>
      <c r="E105" s="40" t="s">
        <v>49</v>
      </c>
      <c r="F105" s="41">
        <v>2000</v>
      </c>
      <c r="G105" s="41">
        <v>0</v>
      </c>
      <c r="H105" s="41">
        <f t="shared" si="7"/>
        <v>500</v>
      </c>
      <c r="I105" s="43">
        <v>3230</v>
      </c>
      <c r="J105" s="43"/>
      <c r="K105" s="43"/>
    </row>
    <row r="106" spans="1:11" ht="12.75" customHeight="1" x14ac:dyDescent="0.2">
      <c r="A106" s="40">
        <v>2</v>
      </c>
      <c r="B106" s="40">
        <v>2021</v>
      </c>
      <c r="C106" s="40" t="str">
        <f t="shared" si="6"/>
        <v>Income: 1</v>
      </c>
      <c r="D106" s="77" t="s">
        <v>502</v>
      </c>
      <c r="E106" s="40" t="s">
        <v>49</v>
      </c>
      <c r="F106" s="41">
        <v>1700</v>
      </c>
      <c r="G106" s="41">
        <v>0</v>
      </c>
      <c r="H106" s="41">
        <f t="shared" si="7"/>
        <v>-1200</v>
      </c>
      <c r="I106" s="43">
        <v>3231</v>
      </c>
      <c r="J106" s="43"/>
      <c r="K106" s="43"/>
    </row>
    <row r="107" spans="1:11" ht="12.75" customHeight="1" x14ac:dyDescent="0.2">
      <c r="A107" s="40">
        <v>3</v>
      </c>
      <c r="B107" s="40">
        <v>2021</v>
      </c>
      <c r="C107" s="40" t="str">
        <f t="shared" si="6"/>
        <v>Rent: 1</v>
      </c>
      <c r="D107" s="77" t="s">
        <v>406</v>
      </c>
      <c r="E107" s="40" t="s">
        <v>166</v>
      </c>
      <c r="F107" s="41">
        <v>0</v>
      </c>
      <c r="G107" s="41">
        <v>3100</v>
      </c>
      <c r="H107" s="41">
        <f t="shared" si="7"/>
        <v>1900</v>
      </c>
      <c r="I107" s="43">
        <v>3232</v>
      </c>
      <c r="J107" s="43"/>
      <c r="K107" s="43"/>
    </row>
    <row r="108" spans="1:11" ht="12.75" customHeight="1" x14ac:dyDescent="0.2">
      <c r="A108" s="40">
        <v>3</v>
      </c>
      <c r="B108" s="40">
        <v>2021</v>
      </c>
      <c r="C108" s="40" t="str">
        <f t="shared" si="6"/>
        <v>Income: 1</v>
      </c>
      <c r="D108" s="77" t="s">
        <v>406</v>
      </c>
      <c r="E108" s="40" t="s">
        <v>49</v>
      </c>
      <c r="F108" s="41">
        <v>1200</v>
      </c>
      <c r="G108" s="41">
        <v>0</v>
      </c>
      <c r="H108" s="41">
        <f t="shared" si="7"/>
        <v>700</v>
      </c>
      <c r="I108" s="40">
        <v>3233</v>
      </c>
      <c r="J108" s="43"/>
      <c r="K108" s="43"/>
    </row>
    <row r="109" spans="1:11" ht="12.75" customHeight="1" x14ac:dyDescent="0.2">
      <c r="A109" s="40">
        <v>4</v>
      </c>
      <c r="B109" s="40">
        <v>2021</v>
      </c>
      <c r="C109" s="40" t="str">
        <f t="shared" si="6"/>
        <v>Rent: 1</v>
      </c>
      <c r="D109" s="77" t="s">
        <v>407</v>
      </c>
      <c r="E109" s="40" t="s">
        <v>169</v>
      </c>
      <c r="F109" s="41">
        <v>0</v>
      </c>
      <c r="G109" s="41">
        <v>3100</v>
      </c>
      <c r="H109" s="41">
        <f t="shared" si="7"/>
        <v>3800</v>
      </c>
      <c r="I109" s="43">
        <v>3234</v>
      </c>
      <c r="J109" s="43"/>
      <c r="K109" s="43"/>
    </row>
    <row r="110" spans="1:11" ht="12.75" customHeight="1" x14ac:dyDescent="0.2">
      <c r="A110" s="40">
        <v>4</v>
      </c>
      <c r="B110" s="40">
        <v>2021</v>
      </c>
      <c r="C110" s="40" t="str">
        <f t="shared" si="6"/>
        <v>Income: 1</v>
      </c>
      <c r="D110" s="77" t="s">
        <v>170</v>
      </c>
      <c r="E110" s="40" t="s">
        <v>49</v>
      </c>
      <c r="F110" s="41">
        <v>2000</v>
      </c>
      <c r="G110" s="41">
        <v>0</v>
      </c>
      <c r="H110" s="41">
        <f t="shared" si="7"/>
        <v>1800</v>
      </c>
      <c r="I110" s="43">
        <v>3235</v>
      </c>
      <c r="J110" s="43"/>
      <c r="K110" s="43"/>
    </row>
    <row r="111" spans="1:11" ht="12.75" customHeight="1" x14ac:dyDescent="0.2">
      <c r="A111" s="40">
        <v>4</v>
      </c>
      <c r="B111" s="40">
        <v>2021</v>
      </c>
      <c r="C111" s="40" t="str">
        <f t="shared" si="6"/>
        <v>Income: 1</v>
      </c>
      <c r="D111" s="77" t="s">
        <v>170</v>
      </c>
      <c r="E111" s="40" t="s">
        <v>49</v>
      </c>
      <c r="F111" s="41">
        <v>1800</v>
      </c>
      <c r="G111" s="41">
        <v>0</v>
      </c>
      <c r="H111" s="41">
        <f t="shared" si="7"/>
        <v>0</v>
      </c>
      <c r="I111" s="40">
        <v>3236</v>
      </c>
      <c r="J111" s="43"/>
      <c r="K111" s="43"/>
    </row>
    <row r="112" spans="1:11" ht="12.75" customHeight="1" x14ac:dyDescent="0.2">
      <c r="I112" s="43"/>
      <c r="J112" s="43"/>
      <c r="K112" s="43"/>
    </row>
    <row r="113" spans="9:11" ht="12.75" customHeight="1" x14ac:dyDescent="0.2">
      <c r="I113" s="43"/>
      <c r="J113" s="43"/>
      <c r="K113" s="43"/>
    </row>
    <row r="114" spans="9:11" ht="12.75" customHeight="1" x14ac:dyDescent="0.2">
      <c r="I114" s="45"/>
      <c r="J114" s="43"/>
      <c r="K114" s="43"/>
    </row>
    <row r="115" spans="9:11" ht="12.75" customHeight="1" x14ac:dyDescent="0.2">
      <c r="I115" s="43"/>
      <c r="J115" s="43"/>
      <c r="K115" s="43"/>
    </row>
    <row r="116" spans="9:11" ht="12.75" customHeight="1" x14ac:dyDescent="0.2">
      <c r="I116" s="43"/>
      <c r="J116" s="43"/>
      <c r="K116" s="43"/>
    </row>
    <row r="117" spans="9:11" ht="12.75" customHeight="1" x14ac:dyDescent="0.2">
      <c r="I117" s="43"/>
      <c r="J117" s="43"/>
      <c r="K117" s="43"/>
    </row>
    <row r="118" spans="9:11" ht="12.75" customHeight="1" x14ac:dyDescent="0.2">
      <c r="I118" s="43"/>
      <c r="J118" s="43"/>
      <c r="K118" s="43"/>
    </row>
    <row r="119" spans="9:11" ht="12.75" customHeight="1" x14ac:dyDescent="0.2">
      <c r="I119" s="43"/>
      <c r="J119" s="43"/>
      <c r="K119" s="43"/>
    </row>
    <row r="120" spans="9:11" ht="12.75" customHeight="1" x14ac:dyDescent="0.2">
      <c r="I120" s="43"/>
      <c r="J120" s="43"/>
      <c r="K120" s="43"/>
    </row>
    <row r="121" spans="9:11" ht="12.75" customHeight="1" x14ac:dyDescent="0.2">
      <c r="I121" s="43"/>
      <c r="J121" s="43"/>
      <c r="K121" s="43"/>
    </row>
    <row r="122" spans="9:11" ht="12.75" customHeight="1" x14ac:dyDescent="0.2">
      <c r="I122" s="45"/>
      <c r="J122" s="43"/>
      <c r="K122" s="43"/>
    </row>
    <row r="123" spans="9:11" ht="12.75" customHeight="1" x14ac:dyDescent="0.2">
      <c r="I123" s="43"/>
      <c r="J123" s="43"/>
      <c r="K123" s="43"/>
    </row>
    <row r="124" spans="9:11" ht="12.75" customHeight="1" x14ac:dyDescent="0.2">
      <c r="I124" s="43"/>
      <c r="J124" s="43"/>
      <c r="K124" s="43"/>
    </row>
    <row r="125" spans="9:11" ht="12.75" customHeight="1" x14ac:dyDescent="0.2">
      <c r="I125" s="43"/>
      <c r="J125" s="43"/>
      <c r="K125" s="43"/>
    </row>
    <row r="126" spans="9:11" ht="12.75" customHeight="1" x14ac:dyDescent="0.2">
      <c r="I126" s="43"/>
      <c r="J126" s="43"/>
      <c r="K126" s="43"/>
    </row>
    <row r="127" spans="9:11" ht="12.75" customHeight="1" x14ac:dyDescent="0.2">
      <c r="I127" s="43"/>
      <c r="J127" s="43"/>
      <c r="K127" s="43"/>
    </row>
    <row r="128" spans="9:11" ht="12.75" customHeight="1" x14ac:dyDescent="0.2">
      <c r="I128" s="43"/>
      <c r="J128" s="43"/>
      <c r="K128" s="43"/>
    </row>
    <row r="129" spans="9:11" ht="12.75" customHeight="1" x14ac:dyDescent="0.2">
      <c r="I129" s="43"/>
      <c r="J129" s="43"/>
      <c r="K129" s="43"/>
    </row>
    <row r="130" spans="9:11" ht="12.75" customHeight="1" x14ac:dyDescent="0.2">
      <c r="I130" s="43"/>
      <c r="J130" s="43"/>
      <c r="K130" s="43"/>
    </row>
    <row r="131" spans="9:11" ht="12.75" customHeight="1" x14ac:dyDescent="0.2">
      <c r="I131" s="43"/>
      <c r="J131" s="43"/>
      <c r="K131" s="43"/>
    </row>
    <row r="132" spans="9:11" ht="12.75" customHeight="1" x14ac:dyDescent="0.2">
      <c r="I132" s="45"/>
      <c r="J132" s="43"/>
      <c r="K132" s="43"/>
    </row>
    <row r="133" spans="9:11" ht="12.75" customHeight="1" x14ac:dyDescent="0.2">
      <c r="I133" s="43"/>
      <c r="J133" s="43"/>
      <c r="K133" s="43"/>
    </row>
    <row r="134" spans="9:11" ht="12.75" customHeight="1" x14ac:dyDescent="0.2">
      <c r="I134" s="45"/>
      <c r="J134" s="43"/>
      <c r="K134" s="43"/>
    </row>
    <row r="135" spans="9:11" ht="12.75" customHeight="1" x14ac:dyDescent="0.2">
      <c r="I135" s="45"/>
      <c r="J135" s="43"/>
      <c r="K135" s="43"/>
    </row>
    <row r="136" spans="9:11" ht="12.75" customHeight="1" x14ac:dyDescent="0.2">
      <c r="I136" s="43"/>
      <c r="J136" s="43"/>
      <c r="K136" s="43"/>
    </row>
    <row r="137" spans="9:11" ht="12.75" customHeight="1" x14ac:dyDescent="0.2">
      <c r="I137" s="45"/>
      <c r="J137" s="43"/>
      <c r="K137" s="43"/>
    </row>
    <row r="138" spans="9:11" ht="12.75" customHeight="1" x14ac:dyDescent="0.2">
      <c r="I138" s="43"/>
      <c r="J138" s="43"/>
      <c r="K138" s="43"/>
    </row>
    <row r="139" spans="9:11" ht="12.75" customHeight="1" x14ac:dyDescent="0.2">
      <c r="I139" s="45"/>
      <c r="J139" s="43"/>
      <c r="K139" s="43"/>
    </row>
    <row r="140" spans="9:11" ht="12.75" customHeight="1" x14ac:dyDescent="0.2">
      <c r="I140" s="45"/>
      <c r="J140" s="43"/>
      <c r="K140" s="43"/>
    </row>
    <row r="141" spans="9:11" ht="12.75" customHeight="1" x14ac:dyDescent="0.2">
      <c r="I141" s="43"/>
      <c r="J141" s="43"/>
      <c r="K141" s="43"/>
    </row>
    <row r="142" spans="9:11" ht="12.75" customHeight="1" x14ac:dyDescent="0.2">
      <c r="I142" s="45"/>
      <c r="J142" s="43"/>
      <c r="K142" s="43"/>
    </row>
    <row r="143" spans="9:11" ht="12.75" customHeight="1" x14ac:dyDescent="0.2">
      <c r="I143" s="45"/>
      <c r="J143" s="43"/>
      <c r="K143" s="43"/>
    </row>
    <row r="144" spans="9:11" ht="12.75" customHeight="1" x14ac:dyDescent="0.2">
      <c r="I144" s="45"/>
      <c r="J144" s="43"/>
      <c r="K144" s="43"/>
    </row>
    <row r="145" spans="1:11" ht="12.75" customHeight="1" x14ac:dyDescent="0.2">
      <c r="I145" s="43"/>
      <c r="J145" s="43"/>
      <c r="K145" s="43"/>
    </row>
    <row r="146" spans="1:11" ht="12.75" customHeight="1" x14ac:dyDescent="0.2">
      <c r="I146" s="45"/>
      <c r="J146" s="43"/>
      <c r="K146" s="43"/>
    </row>
    <row r="147" spans="1:11" ht="12.75" customHeight="1" x14ac:dyDescent="0.2">
      <c r="I147" s="45"/>
      <c r="J147" s="43"/>
      <c r="K147" s="43"/>
    </row>
    <row r="148" spans="1:11" ht="12.75" customHeight="1" x14ac:dyDescent="0.2">
      <c r="I148" s="43"/>
      <c r="J148" s="43"/>
      <c r="K148" s="43"/>
    </row>
    <row r="149" spans="1:11" ht="12.75" customHeight="1" x14ac:dyDescent="0.2">
      <c r="I149" s="45"/>
      <c r="J149" s="43"/>
      <c r="K149" s="43"/>
    </row>
    <row r="150" spans="1:11" ht="12.75" customHeight="1" x14ac:dyDescent="0.2">
      <c r="I150" s="45"/>
      <c r="J150" s="43"/>
      <c r="K150" s="43"/>
    </row>
    <row r="151" spans="1:11" ht="12.75" customHeight="1" x14ac:dyDescent="0.2">
      <c r="A151" s="43"/>
      <c r="B151" s="43"/>
      <c r="C151" s="43"/>
      <c r="D151" s="70"/>
      <c r="E151" s="43"/>
      <c r="F151" s="41"/>
      <c r="G151" s="41"/>
      <c r="H151" s="41"/>
      <c r="I151" s="43"/>
      <c r="J151" s="43"/>
      <c r="K151" s="43"/>
    </row>
    <row r="152" spans="1:11" ht="12.75" customHeight="1" x14ac:dyDescent="0.2">
      <c r="A152" s="43"/>
      <c r="B152" s="43"/>
      <c r="C152" s="43"/>
      <c r="D152" s="70"/>
      <c r="E152" s="43"/>
      <c r="F152" s="41"/>
      <c r="G152" s="41"/>
      <c r="H152" s="41"/>
      <c r="I152" s="43"/>
      <c r="J152" s="43"/>
      <c r="K152" s="43"/>
    </row>
    <row r="153" spans="1:11" ht="12.75" customHeight="1" x14ac:dyDescent="0.2">
      <c r="A153" s="43"/>
      <c r="B153" s="43"/>
      <c r="C153" s="43"/>
      <c r="D153" s="70"/>
      <c r="E153" s="43"/>
      <c r="F153" s="41"/>
      <c r="G153" s="41"/>
      <c r="H153" s="41"/>
      <c r="I153" s="43"/>
      <c r="J153" s="43"/>
      <c r="K153" s="43"/>
    </row>
    <row r="154" spans="1:11" ht="12.75" customHeight="1" x14ac:dyDescent="0.2">
      <c r="A154" s="43"/>
      <c r="B154" s="43"/>
      <c r="C154" s="43"/>
      <c r="D154" s="70"/>
      <c r="E154" s="43"/>
      <c r="F154" s="41"/>
      <c r="G154" s="41"/>
      <c r="H154" s="41"/>
      <c r="I154" s="43"/>
      <c r="J154" s="43"/>
      <c r="K154" s="43"/>
    </row>
    <row r="155" spans="1:11" ht="12.75" customHeight="1" x14ac:dyDescent="0.2">
      <c r="A155" s="43"/>
      <c r="B155" s="43"/>
      <c r="C155" s="43"/>
      <c r="D155" s="70"/>
      <c r="E155" s="43"/>
      <c r="F155" s="41"/>
      <c r="G155" s="41"/>
      <c r="H155" s="41"/>
      <c r="I155" s="43"/>
      <c r="J155" s="43"/>
      <c r="K155" s="43"/>
    </row>
    <row r="156" spans="1:11" ht="12.75" customHeight="1" x14ac:dyDescent="0.2">
      <c r="A156" s="43"/>
      <c r="B156" s="43"/>
      <c r="C156" s="43"/>
      <c r="D156" s="70"/>
      <c r="E156" s="43"/>
      <c r="F156" s="41"/>
      <c r="G156" s="41"/>
      <c r="H156" s="41"/>
      <c r="I156" s="43"/>
      <c r="J156" s="43"/>
      <c r="K156" s="43"/>
    </row>
    <row r="157" spans="1:11" ht="12.75" customHeight="1" x14ac:dyDescent="0.2">
      <c r="A157" s="43"/>
      <c r="B157" s="43"/>
      <c r="C157" s="43"/>
      <c r="D157" s="70"/>
      <c r="E157" s="43"/>
      <c r="F157" s="41"/>
      <c r="G157" s="41"/>
      <c r="H157" s="41"/>
      <c r="I157" s="43"/>
      <c r="J157" s="43"/>
      <c r="K157" s="43"/>
    </row>
    <row r="158" spans="1:11" ht="12.75" customHeight="1" x14ac:dyDescent="0.2">
      <c r="A158" s="43"/>
      <c r="B158" s="43"/>
      <c r="C158" s="43"/>
      <c r="D158" s="70"/>
      <c r="E158" s="43"/>
      <c r="F158" s="41"/>
      <c r="G158" s="41"/>
      <c r="H158" s="41"/>
      <c r="I158" s="43"/>
      <c r="J158" s="43"/>
      <c r="K158" s="43"/>
    </row>
    <row r="159" spans="1:11" ht="12.75" customHeight="1" x14ac:dyDescent="0.2">
      <c r="A159" s="43"/>
      <c r="B159" s="43"/>
      <c r="C159" s="43"/>
      <c r="D159" s="70"/>
      <c r="E159" s="43"/>
      <c r="F159" s="41"/>
      <c r="G159" s="41"/>
      <c r="H159" s="41"/>
      <c r="I159" s="43"/>
      <c r="J159" s="43"/>
      <c r="K159" s="43"/>
    </row>
    <row r="160" spans="1:11" ht="12.75" customHeight="1" x14ac:dyDescent="0.2">
      <c r="A160" s="43"/>
      <c r="B160" s="43"/>
      <c r="C160" s="43"/>
      <c r="D160" s="70"/>
      <c r="E160" s="43"/>
      <c r="F160" s="41"/>
      <c r="G160" s="41"/>
      <c r="H160" s="41"/>
      <c r="I160" s="43"/>
      <c r="J160" s="43"/>
      <c r="K160" s="43"/>
    </row>
    <row r="161" spans="1:11" ht="12.75" customHeight="1" x14ac:dyDescent="0.2">
      <c r="A161" s="43"/>
      <c r="B161" s="43"/>
      <c r="C161" s="43"/>
      <c r="D161" s="70"/>
      <c r="E161" s="43"/>
      <c r="F161" s="41"/>
      <c r="G161" s="41"/>
      <c r="H161" s="41"/>
      <c r="I161" s="43"/>
      <c r="J161" s="43"/>
      <c r="K161" s="43"/>
    </row>
    <row r="162" spans="1:11" ht="12.75" customHeight="1" x14ac:dyDescent="0.2">
      <c r="A162" s="43"/>
      <c r="B162" s="43"/>
      <c r="C162" s="43"/>
      <c r="D162" s="70"/>
      <c r="E162" s="43"/>
      <c r="F162" s="41"/>
      <c r="G162" s="41"/>
      <c r="H162" s="41"/>
      <c r="I162" s="43"/>
      <c r="J162" s="43"/>
      <c r="K162" s="43"/>
    </row>
    <row r="163" spans="1:11" ht="12.75" customHeight="1" x14ac:dyDescent="0.2">
      <c r="A163" s="43"/>
      <c r="B163" s="43"/>
      <c r="C163" s="43"/>
      <c r="D163" s="70"/>
      <c r="E163" s="43"/>
      <c r="F163" s="41"/>
      <c r="G163" s="41"/>
      <c r="H163" s="41"/>
      <c r="I163" s="43"/>
      <c r="J163" s="43"/>
      <c r="K163" s="43"/>
    </row>
    <row r="164" spans="1:11" ht="12.75" customHeight="1" x14ac:dyDescent="0.2">
      <c r="A164" s="43"/>
      <c r="B164" s="43"/>
      <c r="C164" s="43"/>
      <c r="D164" s="70"/>
      <c r="E164" s="43"/>
      <c r="F164" s="41"/>
      <c r="G164" s="41"/>
      <c r="H164" s="41"/>
      <c r="I164" s="43"/>
      <c r="J164" s="43"/>
      <c r="K164" s="43"/>
    </row>
    <row r="165" spans="1:11" ht="12.75" customHeight="1" x14ac:dyDescent="0.2">
      <c r="A165" s="43"/>
      <c r="B165" s="43"/>
      <c r="C165" s="43"/>
      <c r="D165" s="70"/>
      <c r="E165" s="43"/>
      <c r="F165" s="41"/>
      <c r="G165" s="41"/>
      <c r="H165" s="41"/>
      <c r="I165" s="43"/>
      <c r="J165" s="43"/>
      <c r="K165" s="43"/>
    </row>
    <row r="166" spans="1:11" ht="12.75" customHeight="1" x14ac:dyDescent="0.2">
      <c r="A166" s="43"/>
      <c r="B166" s="43"/>
      <c r="C166" s="43"/>
      <c r="D166" s="70"/>
      <c r="E166" s="43"/>
      <c r="F166" s="41"/>
      <c r="G166" s="41"/>
      <c r="H166" s="41"/>
      <c r="I166" s="43"/>
      <c r="J166" s="43"/>
      <c r="K166" s="43"/>
    </row>
    <row r="167" spans="1:11" ht="12.75" customHeight="1" x14ac:dyDescent="0.2">
      <c r="A167" s="43"/>
      <c r="B167" s="43"/>
      <c r="C167" s="43"/>
      <c r="D167" s="70"/>
      <c r="E167" s="43"/>
      <c r="F167" s="41"/>
      <c r="G167" s="41"/>
      <c r="H167" s="41"/>
      <c r="I167" s="43"/>
      <c r="J167" s="43"/>
      <c r="K167" s="43"/>
    </row>
    <row r="168" spans="1:11" ht="12.75" customHeight="1" x14ac:dyDescent="0.2">
      <c r="A168" s="43"/>
      <c r="B168" s="43"/>
      <c r="C168" s="43"/>
      <c r="D168" s="70"/>
      <c r="E168" s="43"/>
      <c r="F168" s="41"/>
      <c r="G168" s="41"/>
      <c r="H168" s="41"/>
      <c r="I168" s="43"/>
      <c r="J168" s="43"/>
      <c r="K168" s="43"/>
    </row>
    <row r="169" spans="1:11" ht="12.75" customHeight="1" x14ac:dyDescent="0.2">
      <c r="A169" s="43"/>
      <c r="B169" s="43"/>
      <c r="C169" s="43"/>
      <c r="D169" s="70"/>
      <c r="E169" s="43"/>
      <c r="F169" s="41"/>
      <c r="G169" s="41"/>
      <c r="H169" s="41"/>
      <c r="I169" s="43"/>
      <c r="J169" s="43"/>
      <c r="K169" s="43"/>
    </row>
    <row r="170" spans="1:11" ht="12.75" customHeight="1" x14ac:dyDescent="0.2">
      <c r="A170" s="43"/>
      <c r="B170" s="43"/>
      <c r="C170" s="43"/>
      <c r="D170" s="70"/>
      <c r="E170" s="43"/>
      <c r="F170" s="41"/>
      <c r="G170" s="41"/>
      <c r="H170" s="41"/>
      <c r="I170" s="43"/>
      <c r="J170" s="43"/>
      <c r="K170" s="43"/>
    </row>
    <row r="171" spans="1:11" ht="12.75" customHeight="1" x14ac:dyDescent="0.2">
      <c r="A171" s="43"/>
      <c r="B171" s="43"/>
      <c r="C171" s="43"/>
      <c r="D171" s="70"/>
      <c r="E171" s="43"/>
      <c r="F171" s="41"/>
      <c r="G171" s="41"/>
      <c r="H171" s="41"/>
      <c r="I171" s="43"/>
      <c r="J171" s="43"/>
      <c r="K171" s="43"/>
    </row>
    <row r="172" spans="1:11" ht="12.75" customHeight="1" x14ac:dyDescent="0.2">
      <c r="A172" s="43"/>
      <c r="B172" s="43"/>
      <c r="C172" s="43"/>
      <c r="D172" s="70"/>
      <c r="E172" s="43"/>
      <c r="F172" s="41"/>
      <c r="G172" s="41"/>
      <c r="H172" s="41"/>
      <c r="I172" s="43"/>
      <c r="J172" s="43"/>
      <c r="K172" s="43"/>
    </row>
    <row r="173" spans="1:11" ht="12.75" customHeight="1" x14ac:dyDescent="0.2">
      <c r="A173" s="43"/>
      <c r="B173" s="43"/>
      <c r="C173" s="43"/>
      <c r="D173" s="70"/>
      <c r="E173" s="43"/>
      <c r="F173" s="41"/>
      <c r="G173" s="41"/>
      <c r="H173" s="41"/>
      <c r="I173" s="43"/>
      <c r="J173" s="43"/>
      <c r="K173" s="43"/>
    </row>
    <row r="174" spans="1:11" ht="12.75" customHeight="1" x14ac:dyDescent="0.2">
      <c r="A174" s="43"/>
      <c r="B174" s="43"/>
      <c r="C174" s="43"/>
      <c r="D174" s="70"/>
      <c r="E174" s="43"/>
      <c r="F174" s="41"/>
      <c r="G174" s="41"/>
      <c r="H174" s="41"/>
      <c r="I174" s="43"/>
      <c r="J174" s="43"/>
      <c r="K174" s="43"/>
    </row>
    <row r="175" spans="1:11" ht="12.75" customHeight="1" x14ac:dyDescent="0.2">
      <c r="A175" s="43"/>
      <c r="B175" s="43"/>
      <c r="C175" s="43"/>
      <c r="D175" s="70"/>
      <c r="E175" s="43"/>
      <c r="F175" s="41"/>
      <c r="G175" s="41"/>
      <c r="H175" s="41"/>
      <c r="I175" s="43"/>
      <c r="J175" s="43"/>
      <c r="K175" s="43"/>
    </row>
    <row r="176" spans="1:11" ht="12.75" customHeight="1" x14ac:dyDescent="0.2">
      <c r="A176" s="43"/>
      <c r="B176" s="43"/>
      <c r="C176" s="43"/>
      <c r="D176" s="70"/>
      <c r="E176" s="43"/>
      <c r="F176" s="41"/>
      <c r="G176" s="41"/>
      <c r="H176" s="41"/>
      <c r="I176" s="43"/>
      <c r="J176" s="43"/>
      <c r="K176" s="43"/>
    </row>
    <row r="177" spans="1:11" ht="12.75" customHeight="1" x14ac:dyDescent="0.2">
      <c r="A177" s="43"/>
      <c r="B177" s="43"/>
      <c r="C177" s="43"/>
      <c r="D177" s="70"/>
      <c r="E177" s="43"/>
      <c r="F177" s="41"/>
      <c r="G177" s="41"/>
      <c r="H177" s="41"/>
      <c r="I177" s="43"/>
      <c r="J177" s="43"/>
      <c r="K177" s="43"/>
    </row>
    <row r="178" spans="1:11" ht="12.75" customHeight="1" x14ac:dyDescent="0.2">
      <c r="A178" s="43"/>
      <c r="B178" s="43"/>
      <c r="C178" s="43"/>
      <c r="D178" s="70"/>
      <c r="E178" s="43"/>
      <c r="F178" s="41"/>
      <c r="G178" s="41"/>
      <c r="H178" s="41"/>
      <c r="I178" s="43"/>
      <c r="J178" s="43"/>
      <c r="K178" s="43"/>
    </row>
    <row r="179" spans="1:11" ht="12.75" customHeight="1" x14ac:dyDescent="0.2">
      <c r="A179" s="43"/>
      <c r="B179" s="43"/>
      <c r="C179" s="43"/>
      <c r="D179" s="70"/>
      <c r="E179" s="43"/>
      <c r="F179" s="41"/>
      <c r="G179" s="41"/>
      <c r="H179" s="41"/>
      <c r="I179" s="43"/>
      <c r="J179" s="43"/>
      <c r="K179" s="43"/>
    </row>
    <row r="180" spans="1:11" ht="12.75" customHeight="1" x14ac:dyDescent="0.2">
      <c r="A180" s="43"/>
      <c r="B180" s="43"/>
      <c r="C180" s="43"/>
      <c r="D180" s="70"/>
      <c r="E180" s="43"/>
      <c r="F180" s="41"/>
      <c r="G180" s="41"/>
      <c r="H180" s="41"/>
      <c r="I180" s="43"/>
      <c r="J180" s="43"/>
      <c r="K180" s="43"/>
    </row>
    <row r="181" spans="1:11" ht="12.75" customHeight="1" x14ac:dyDescent="0.2">
      <c r="A181" s="43"/>
      <c r="B181" s="43"/>
      <c r="C181" s="43"/>
      <c r="D181" s="70"/>
      <c r="E181" s="43"/>
      <c r="F181" s="41"/>
      <c r="G181" s="41"/>
      <c r="H181" s="41"/>
      <c r="I181" s="43"/>
      <c r="J181" s="43"/>
      <c r="K181" s="43"/>
    </row>
    <row r="182" spans="1:11" ht="12.75" customHeight="1" x14ac:dyDescent="0.2">
      <c r="A182" s="43"/>
      <c r="B182" s="43"/>
      <c r="C182" s="43"/>
      <c r="D182" s="70"/>
      <c r="E182" s="43"/>
      <c r="F182" s="41"/>
      <c r="G182" s="41"/>
      <c r="H182" s="41"/>
      <c r="I182" s="43"/>
      <c r="J182" s="43"/>
      <c r="K182" s="43"/>
    </row>
    <row r="183" spans="1:11" ht="12.75" customHeight="1" x14ac:dyDescent="0.2">
      <c r="A183" s="43"/>
      <c r="B183" s="43"/>
      <c r="C183" s="43"/>
      <c r="D183" s="70"/>
      <c r="E183" s="43"/>
      <c r="F183" s="41"/>
      <c r="G183" s="41"/>
      <c r="H183" s="41"/>
      <c r="I183" s="43"/>
      <c r="J183" s="43"/>
      <c r="K183" s="43"/>
    </row>
    <row r="184" spans="1:11" ht="12.75" customHeight="1" x14ac:dyDescent="0.2">
      <c r="A184" s="43"/>
      <c r="B184" s="43"/>
      <c r="C184" s="43"/>
      <c r="D184" s="70"/>
      <c r="E184" s="43"/>
      <c r="F184" s="41"/>
      <c r="G184" s="41"/>
      <c r="H184" s="41"/>
      <c r="I184" s="43"/>
      <c r="J184" s="43"/>
      <c r="K184" s="43"/>
    </row>
    <row r="185" spans="1:11" ht="12.75" customHeight="1" x14ac:dyDescent="0.2">
      <c r="A185" s="43"/>
      <c r="B185" s="43"/>
      <c r="C185" s="43"/>
      <c r="D185" s="70"/>
      <c r="E185" s="43"/>
      <c r="F185" s="41"/>
      <c r="G185" s="41"/>
      <c r="H185" s="41"/>
      <c r="I185" s="43"/>
      <c r="J185" s="43"/>
      <c r="K185" s="43"/>
    </row>
    <row r="186" spans="1:11" ht="12.75" customHeight="1" x14ac:dyDescent="0.2">
      <c r="A186" s="43"/>
      <c r="B186" s="43"/>
      <c r="C186" s="43"/>
      <c r="D186" s="70"/>
      <c r="E186" s="43"/>
      <c r="F186" s="41"/>
      <c r="G186" s="41"/>
      <c r="H186" s="41"/>
      <c r="I186" s="43"/>
      <c r="J186" s="43"/>
      <c r="K186" s="43"/>
    </row>
    <row r="187" spans="1:11" ht="12.75" customHeight="1" x14ac:dyDescent="0.2">
      <c r="A187" s="43"/>
      <c r="B187" s="43"/>
      <c r="C187" s="43"/>
      <c r="D187" s="70"/>
      <c r="E187" s="43"/>
      <c r="F187" s="41"/>
      <c r="G187" s="41"/>
      <c r="H187" s="41"/>
      <c r="I187" s="43"/>
      <c r="J187" s="43"/>
      <c r="K187" s="43"/>
    </row>
    <row r="188" spans="1:11" ht="12.75" customHeight="1" x14ac:dyDescent="0.2">
      <c r="A188" s="43"/>
      <c r="B188" s="43"/>
      <c r="C188" s="43"/>
      <c r="D188" s="70"/>
      <c r="E188" s="43"/>
      <c r="F188" s="41"/>
      <c r="G188" s="41"/>
      <c r="H188" s="41"/>
      <c r="I188" s="43"/>
      <c r="J188" s="43"/>
      <c r="K188" s="43"/>
    </row>
    <row r="189" spans="1:11" ht="12.75" customHeight="1" x14ac:dyDescent="0.2">
      <c r="A189" s="43"/>
      <c r="B189" s="43"/>
      <c r="C189" s="43"/>
      <c r="D189" s="70"/>
      <c r="E189" s="43"/>
      <c r="F189" s="41"/>
      <c r="G189" s="41"/>
      <c r="H189" s="41"/>
      <c r="I189" s="43"/>
      <c r="J189" s="43"/>
      <c r="K189" s="43"/>
    </row>
    <row r="190" spans="1:11" ht="12.75" customHeight="1" x14ac:dyDescent="0.2">
      <c r="A190" s="43"/>
      <c r="B190" s="43"/>
      <c r="C190" s="43"/>
      <c r="D190" s="70"/>
      <c r="E190" s="43"/>
      <c r="F190" s="41"/>
      <c r="G190" s="41"/>
      <c r="H190" s="41"/>
      <c r="I190" s="43"/>
      <c r="J190" s="43"/>
      <c r="K190" s="43"/>
    </row>
    <row r="191" spans="1:11" ht="12.75" customHeight="1" x14ac:dyDescent="0.2">
      <c r="A191" s="43"/>
      <c r="B191" s="43"/>
      <c r="C191" s="43"/>
      <c r="D191" s="70"/>
      <c r="E191" s="43"/>
      <c r="F191" s="41"/>
      <c r="G191" s="41"/>
      <c r="H191" s="41"/>
      <c r="I191" s="43"/>
      <c r="J191" s="43"/>
      <c r="K191" s="43"/>
    </row>
    <row r="192" spans="1:11" ht="12.75" customHeight="1" x14ac:dyDescent="0.2">
      <c r="A192" s="43"/>
      <c r="B192" s="43"/>
      <c r="C192" s="43"/>
      <c r="D192" s="70"/>
      <c r="E192" s="43"/>
      <c r="F192" s="41"/>
      <c r="G192" s="41"/>
      <c r="H192" s="41"/>
      <c r="I192" s="43"/>
      <c r="J192" s="43"/>
      <c r="K192" s="43"/>
    </row>
    <row r="193" spans="1:11" ht="12.75" customHeight="1" x14ac:dyDescent="0.2">
      <c r="A193" s="43"/>
      <c r="B193" s="43"/>
      <c r="C193" s="43"/>
      <c r="D193" s="70"/>
      <c r="E193" s="43"/>
      <c r="F193" s="41"/>
      <c r="G193" s="41"/>
      <c r="H193" s="41"/>
      <c r="I193" s="43"/>
      <c r="J193" s="43"/>
      <c r="K193" s="43"/>
    </row>
    <row r="194" spans="1:11" ht="12.75" customHeight="1" x14ac:dyDescent="0.2">
      <c r="A194" s="43"/>
      <c r="B194" s="43"/>
      <c r="C194" s="43"/>
      <c r="D194" s="70"/>
      <c r="E194" s="43"/>
      <c r="F194" s="41"/>
      <c r="G194" s="41"/>
      <c r="H194" s="41"/>
      <c r="I194" s="43"/>
      <c r="J194" s="43"/>
      <c r="K194" s="43"/>
    </row>
    <row r="195" spans="1:11" ht="12.75" customHeight="1" x14ac:dyDescent="0.2">
      <c r="A195" s="43"/>
      <c r="B195" s="43"/>
      <c r="C195" s="43"/>
      <c r="D195" s="70"/>
      <c r="E195" s="43"/>
      <c r="F195" s="41"/>
      <c r="G195" s="41"/>
      <c r="H195" s="41"/>
      <c r="I195" s="43"/>
      <c r="J195" s="43"/>
      <c r="K195" s="43"/>
    </row>
    <row r="196" spans="1:11" ht="12.75" customHeight="1" x14ac:dyDescent="0.2">
      <c r="A196" s="43"/>
      <c r="B196" s="43"/>
      <c r="C196" s="43"/>
      <c r="D196" s="70"/>
      <c r="E196" s="43"/>
      <c r="F196" s="41"/>
      <c r="G196" s="41"/>
      <c r="H196" s="41"/>
      <c r="I196" s="43"/>
      <c r="J196" s="43"/>
      <c r="K196" s="43"/>
    </row>
    <row r="197" spans="1:11" ht="12.75" customHeight="1" x14ac:dyDescent="0.2">
      <c r="A197" s="43"/>
      <c r="B197" s="43"/>
      <c r="C197" s="43"/>
      <c r="D197" s="70"/>
      <c r="E197" s="43"/>
      <c r="F197" s="41"/>
      <c r="G197" s="41"/>
      <c r="H197" s="41"/>
      <c r="I197" s="43"/>
      <c r="J197" s="43"/>
      <c r="K197" s="43"/>
    </row>
    <row r="198" spans="1:11" ht="12.75" customHeight="1" x14ac:dyDescent="0.2">
      <c r="A198" s="43"/>
      <c r="B198" s="43"/>
      <c r="C198" s="43"/>
      <c r="D198" s="70"/>
      <c r="E198" s="43"/>
      <c r="F198" s="41"/>
      <c r="G198" s="41"/>
      <c r="H198" s="41"/>
      <c r="I198" s="43"/>
      <c r="J198" s="43"/>
      <c r="K198" s="43"/>
    </row>
    <row r="199" spans="1:11" ht="12.75" customHeight="1" x14ac:dyDescent="0.2">
      <c r="A199" s="43"/>
      <c r="B199" s="43"/>
      <c r="C199" s="43"/>
      <c r="D199" s="70"/>
      <c r="E199" s="43"/>
      <c r="F199" s="41"/>
      <c r="G199" s="41"/>
      <c r="H199" s="41"/>
      <c r="I199" s="43"/>
      <c r="J199" s="43"/>
      <c r="K199" s="43"/>
    </row>
    <row r="200" spans="1:11" ht="12.75" customHeight="1" x14ac:dyDescent="0.2">
      <c r="A200" s="43"/>
      <c r="B200" s="43"/>
      <c r="C200" s="43"/>
      <c r="D200" s="70"/>
      <c r="E200" s="43"/>
      <c r="F200" s="41"/>
      <c r="G200" s="41"/>
      <c r="H200" s="41"/>
      <c r="I200" s="43"/>
      <c r="J200" s="43"/>
      <c r="K200" s="43"/>
    </row>
    <row r="201" spans="1:11" ht="12.75" customHeight="1" x14ac:dyDescent="0.2">
      <c r="A201" s="43"/>
      <c r="B201" s="43"/>
      <c r="C201" s="43"/>
      <c r="D201" s="70"/>
      <c r="E201" s="43"/>
      <c r="F201" s="41"/>
      <c r="G201" s="41"/>
      <c r="H201" s="41"/>
      <c r="I201" s="43"/>
      <c r="J201" s="43"/>
      <c r="K201" s="43"/>
    </row>
    <row r="202" spans="1:11" ht="12.75" customHeight="1" x14ac:dyDescent="0.2">
      <c r="A202" s="43"/>
      <c r="B202" s="43"/>
      <c r="C202" s="43"/>
      <c r="D202" s="70"/>
      <c r="E202" s="43"/>
      <c r="F202" s="41"/>
      <c r="G202" s="41"/>
      <c r="H202" s="41"/>
      <c r="I202" s="43"/>
      <c r="J202" s="43"/>
      <c r="K202" s="43"/>
    </row>
    <row r="203" spans="1:11" ht="12.75" customHeight="1" x14ac:dyDescent="0.2">
      <c r="A203" s="43"/>
      <c r="B203" s="43"/>
      <c r="C203" s="43"/>
      <c r="D203" s="70"/>
      <c r="E203" s="43"/>
      <c r="F203" s="41"/>
      <c r="G203" s="41"/>
      <c r="H203" s="41"/>
      <c r="I203" s="43"/>
      <c r="J203" s="43"/>
      <c r="K203" s="43"/>
    </row>
    <row r="204" spans="1:11" ht="12.75" customHeight="1" x14ac:dyDescent="0.2">
      <c r="A204" s="43"/>
      <c r="B204" s="43"/>
      <c r="C204" s="43"/>
      <c r="D204" s="70"/>
      <c r="E204" s="43"/>
      <c r="F204" s="41"/>
      <c r="G204" s="41"/>
      <c r="H204" s="41"/>
      <c r="I204" s="43"/>
      <c r="J204" s="43"/>
      <c r="K204" s="43"/>
    </row>
    <row r="205" spans="1:11" ht="12.75" customHeight="1" x14ac:dyDescent="0.2">
      <c r="A205" s="43"/>
      <c r="B205" s="43"/>
      <c r="C205" s="43"/>
      <c r="D205" s="70"/>
      <c r="E205" s="43"/>
      <c r="F205" s="41"/>
      <c r="G205" s="41"/>
      <c r="H205" s="41"/>
      <c r="I205" s="43"/>
      <c r="J205" s="43"/>
      <c r="K205" s="43"/>
    </row>
    <row r="206" spans="1:11" ht="12.75" customHeight="1" x14ac:dyDescent="0.2">
      <c r="A206" s="43"/>
      <c r="B206" s="43"/>
      <c r="C206" s="43"/>
      <c r="D206" s="70"/>
      <c r="E206" s="43"/>
      <c r="F206" s="41"/>
      <c r="G206" s="41"/>
      <c r="H206" s="41"/>
      <c r="I206" s="43"/>
      <c r="J206" s="43"/>
      <c r="K206" s="43"/>
    </row>
    <row r="207" spans="1:11" ht="12.75" customHeight="1" x14ac:dyDescent="0.2">
      <c r="A207" s="43"/>
      <c r="B207" s="43"/>
      <c r="C207" s="43"/>
      <c r="D207" s="70"/>
      <c r="E207" s="43"/>
      <c r="F207" s="41"/>
      <c r="G207" s="41"/>
      <c r="H207" s="41"/>
      <c r="I207" s="43"/>
      <c r="J207" s="43"/>
      <c r="K207" s="43"/>
    </row>
    <row r="208" spans="1:11" ht="12.75" customHeight="1" x14ac:dyDescent="0.2">
      <c r="A208" s="43"/>
      <c r="B208" s="43"/>
      <c r="C208" s="43"/>
      <c r="D208" s="70"/>
      <c r="E208" s="43"/>
      <c r="F208" s="41"/>
      <c r="G208" s="41"/>
      <c r="H208" s="41"/>
      <c r="I208" s="43"/>
      <c r="J208" s="43"/>
      <c r="K208" s="43"/>
    </row>
    <row r="209" spans="1:11" ht="12.75" customHeight="1" x14ac:dyDescent="0.2">
      <c r="A209" s="43"/>
      <c r="B209" s="43"/>
      <c r="C209" s="43"/>
      <c r="D209" s="70"/>
      <c r="E209" s="43"/>
      <c r="F209" s="41"/>
      <c r="G209" s="41"/>
      <c r="H209" s="41"/>
      <c r="I209" s="43"/>
      <c r="J209" s="43"/>
      <c r="K209" s="43"/>
    </row>
    <row r="210" spans="1:11" ht="12.75" customHeight="1" x14ac:dyDescent="0.2">
      <c r="A210" s="43"/>
      <c r="B210" s="43"/>
      <c r="C210" s="43"/>
      <c r="D210" s="70"/>
      <c r="E210" s="43"/>
      <c r="F210" s="41"/>
      <c r="G210" s="41"/>
      <c r="H210" s="41"/>
      <c r="I210" s="43"/>
      <c r="J210" s="43"/>
      <c r="K210" s="43"/>
    </row>
    <row r="211" spans="1:11" ht="12.75" customHeight="1" x14ac:dyDescent="0.2">
      <c r="A211" s="43"/>
      <c r="B211" s="43"/>
      <c r="C211" s="43"/>
      <c r="D211" s="70"/>
      <c r="E211" s="43"/>
      <c r="F211" s="41"/>
      <c r="G211" s="41"/>
      <c r="H211" s="41"/>
      <c r="I211" s="43"/>
      <c r="J211" s="43"/>
      <c r="K211" s="43"/>
    </row>
    <row r="212" spans="1:11" ht="12.75" customHeight="1" x14ac:dyDescent="0.2">
      <c r="A212" s="43"/>
      <c r="B212" s="43"/>
      <c r="C212" s="43"/>
      <c r="D212" s="70"/>
      <c r="E212" s="43"/>
      <c r="F212" s="41"/>
      <c r="G212" s="41"/>
      <c r="H212" s="41"/>
      <c r="I212" s="43"/>
      <c r="J212" s="43"/>
      <c r="K212" s="43"/>
    </row>
    <row r="213" spans="1:11" ht="12.75" customHeight="1" x14ac:dyDescent="0.2">
      <c r="A213" s="43"/>
      <c r="B213" s="43"/>
      <c r="C213" s="43"/>
      <c r="D213" s="70"/>
      <c r="E213" s="43"/>
      <c r="F213" s="41"/>
      <c r="G213" s="41"/>
      <c r="H213" s="41"/>
      <c r="I213" s="43"/>
      <c r="J213" s="43"/>
      <c r="K213" s="43"/>
    </row>
    <row r="214" spans="1:11" ht="12.75" customHeight="1" x14ac:dyDescent="0.2">
      <c r="A214" s="43"/>
      <c r="B214" s="43"/>
      <c r="C214" s="43"/>
      <c r="D214" s="70"/>
      <c r="E214" s="43"/>
      <c r="F214" s="41"/>
      <c r="G214" s="41"/>
      <c r="H214" s="41"/>
      <c r="I214" s="43"/>
      <c r="J214" s="43"/>
      <c r="K214" s="43"/>
    </row>
    <row r="215" spans="1:11" ht="12.75" customHeight="1" x14ac:dyDescent="0.2">
      <c r="A215" s="43"/>
      <c r="B215" s="43"/>
      <c r="C215" s="43"/>
      <c r="D215" s="70"/>
      <c r="E215" s="43"/>
      <c r="F215" s="41"/>
      <c r="G215" s="41"/>
      <c r="H215" s="41"/>
      <c r="I215" s="43"/>
      <c r="J215" s="43"/>
      <c r="K215" s="43"/>
    </row>
    <row r="216" spans="1:11" ht="12.75" customHeight="1" x14ac:dyDescent="0.2">
      <c r="A216" s="43"/>
      <c r="B216" s="43"/>
      <c r="C216" s="43"/>
      <c r="D216" s="70"/>
      <c r="E216" s="43"/>
      <c r="F216" s="41"/>
      <c r="G216" s="41"/>
      <c r="H216" s="41"/>
      <c r="I216" s="43"/>
      <c r="J216" s="43"/>
      <c r="K216" s="43"/>
    </row>
    <row r="217" spans="1:11" ht="12.75" customHeight="1" x14ac:dyDescent="0.2">
      <c r="A217" s="43"/>
      <c r="B217" s="43"/>
      <c r="C217" s="43"/>
      <c r="D217" s="70"/>
      <c r="E217" s="43"/>
      <c r="F217" s="41"/>
      <c r="G217" s="41"/>
      <c r="H217" s="41"/>
      <c r="I217" s="43"/>
      <c r="J217" s="43"/>
      <c r="K217" s="43"/>
    </row>
    <row r="218" spans="1:11" ht="12.75" customHeight="1" x14ac:dyDescent="0.2">
      <c r="A218" s="43"/>
      <c r="B218" s="43"/>
      <c r="C218" s="43"/>
      <c r="D218" s="70"/>
      <c r="E218" s="43"/>
      <c r="F218" s="41"/>
      <c r="G218" s="41"/>
      <c r="H218" s="41"/>
      <c r="I218" s="43"/>
      <c r="J218" s="43"/>
      <c r="K218" s="43"/>
    </row>
    <row r="219" spans="1:11" ht="12.75" customHeight="1" x14ac:dyDescent="0.2">
      <c r="A219" s="43"/>
      <c r="B219" s="43"/>
      <c r="C219" s="43"/>
      <c r="D219" s="70"/>
      <c r="E219" s="43"/>
      <c r="F219" s="41"/>
      <c r="G219" s="41"/>
      <c r="H219" s="41"/>
      <c r="I219" s="43"/>
      <c r="J219" s="43"/>
      <c r="K219" s="43"/>
    </row>
    <row r="220" spans="1:11" ht="12.75" customHeight="1" x14ac:dyDescent="0.2">
      <c r="A220" s="43"/>
      <c r="B220" s="43"/>
      <c r="C220" s="43"/>
      <c r="D220" s="70"/>
      <c r="E220" s="43"/>
      <c r="F220" s="41"/>
      <c r="G220" s="41"/>
      <c r="H220" s="41"/>
      <c r="I220" s="43"/>
      <c r="J220" s="43"/>
      <c r="K220" s="43"/>
    </row>
    <row r="221" spans="1:11" ht="12.75" customHeight="1" x14ac:dyDescent="0.2">
      <c r="A221" s="43"/>
      <c r="B221" s="43"/>
      <c r="C221" s="43"/>
      <c r="D221" s="70"/>
      <c r="E221" s="43"/>
      <c r="F221" s="41"/>
      <c r="G221" s="41"/>
      <c r="H221" s="41"/>
      <c r="I221" s="43"/>
      <c r="J221" s="43"/>
      <c r="K221" s="43"/>
    </row>
    <row r="222" spans="1:11" ht="12.75" customHeight="1" x14ac:dyDescent="0.2">
      <c r="A222" s="43"/>
      <c r="B222" s="43"/>
      <c r="C222" s="43"/>
      <c r="D222" s="70"/>
      <c r="E222" s="43"/>
      <c r="F222" s="41"/>
      <c r="G222" s="41"/>
      <c r="H222" s="41"/>
      <c r="I222" s="43"/>
      <c r="J222" s="43"/>
      <c r="K222" s="43"/>
    </row>
    <row r="223" spans="1:11" ht="12.75" customHeight="1" x14ac:dyDescent="0.2">
      <c r="A223" s="43"/>
      <c r="B223" s="43"/>
      <c r="C223" s="43"/>
      <c r="D223" s="70"/>
      <c r="E223" s="43"/>
      <c r="F223" s="41"/>
      <c r="G223" s="41"/>
      <c r="H223" s="41"/>
      <c r="I223" s="43"/>
      <c r="J223" s="43"/>
      <c r="K223" s="43"/>
    </row>
    <row r="224" spans="1:11" ht="12.75" customHeight="1" x14ac:dyDescent="0.2">
      <c r="A224" s="43"/>
      <c r="B224" s="43"/>
      <c r="C224" s="43"/>
      <c r="D224" s="70"/>
      <c r="E224" s="43"/>
      <c r="F224" s="41"/>
      <c r="G224" s="41"/>
      <c r="H224" s="41"/>
      <c r="I224" s="43"/>
      <c r="J224" s="43"/>
      <c r="K224" s="43"/>
    </row>
    <row r="225" spans="1:11" ht="12.75" customHeight="1" x14ac:dyDescent="0.2">
      <c r="A225" s="43"/>
      <c r="B225" s="43"/>
      <c r="C225" s="43"/>
      <c r="D225" s="70"/>
      <c r="E225" s="43"/>
      <c r="F225" s="41"/>
      <c r="G225" s="41"/>
      <c r="H225" s="41"/>
      <c r="I225" s="43"/>
      <c r="J225" s="43"/>
      <c r="K225" s="43"/>
    </row>
    <row r="226" spans="1:11" ht="12.75" customHeight="1" x14ac:dyDescent="0.2">
      <c r="A226" s="43"/>
      <c r="B226" s="43"/>
      <c r="C226" s="43"/>
      <c r="D226" s="70"/>
      <c r="E226" s="43"/>
      <c r="F226" s="41"/>
      <c r="G226" s="41"/>
      <c r="H226" s="41"/>
      <c r="I226" s="43"/>
      <c r="J226" s="43"/>
      <c r="K226" s="43"/>
    </row>
    <row r="227" spans="1:11" ht="12.75" customHeight="1" x14ac:dyDescent="0.2">
      <c r="A227" s="43"/>
      <c r="B227" s="43"/>
      <c r="C227" s="43"/>
      <c r="D227" s="70"/>
      <c r="E227" s="43"/>
      <c r="F227" s="41"/>
      <c r="G227" s="41"/>
      <c r="H227" s="41"/>
      <c r="I227" s="43"/>
      <c r="J227" s="43"/>
      <c r="K227" s="43"/>
    </row>
    <row r="228" spans="1:11" ht="12.75" customHeight="1" x14ac:dyDescent="0.2">
      <c r="A228" s="43"/>
      <c r="B228" s="43"/>
      <c r="C228" s="43"/>
      <c r="D228" s="70"/>
      <c r="E228" s="43"/>
      <c r="F228" s="41"/>
      <c r="G228" s="41"/>
      <c r="H228" s="41"/>
      <c r="I228" s="43"/>
      <c r="J228" s="43"/>
      <c r="K228" s="43"/>
    </row>
    <row r="229" spans="1:11" ht="12.75" customHeight="1" x14ac:dyDescent="0.2">
      <c r="A229" s="43"/>
      <c r="B229" s="43"/>
      <c r="C229" s="43"/>
      <c r="D229" s="70"/>
      <c r="E229" s="43"/>
      <c r="F229" s="41"/>
      <c r="G229" s="41"/>
      <c r="H229" s="41"/>
      <c r="I229" s="43"/>
      <c r="J229" s="43"/>
      <c r="K229" s="43"/>
    </row>
    <row r="230" spans="1:11" ht="12.75" customHeight="1" x14ac:dyDescent="0.2">
      <c r="A230" s="43"/>
      <c r="B230" s="43"/>
      <c r="C230" s="43"/>
      <c r="D230" s="70"/>
      <c r="E230" s="43"/>
      <c r="F230" s="41"/>
      <c r="G230" s="41"/>
      <c r="H230" s="41"/>
      <c r="I230" s="43"/>
      <c r="J230" s="43"/>
      <c r="K230" s="43"/>
    </row>
    <row r="231" spans="1:11" ht="12.75" customHeight="1" x14ac:dyDescent="0.2">
      <c r="A231" s="43"/>
      <c r="B231" s="43"/>
      <c r="C231" s="43"/>
      <c r="D231" s="70"/>
      <c r="E231" s="43"/>
      <c r="F231" s="41"/>
      <c r="G231" s="41"/>
      <c r="H231" s="41"/>
      <c r="I231" s="43"/>
      <c r="J231" s="43"/>
      <c r="K231" s="43"/>
    </row>
    <row r="232" spans="1:11" ht="12.75" customHeight="1" x14ac:dyDescent="0.2">
      <c r="A232" s="43"/>
      <c r="B232" s="43"/>
      <c r="C232" s="43"/>
      <c r="D232" s="70"/>
      <c r="E232" s="43"/>
      <c r="F232" s="41"/>
      <c r="G232" s="41"/>
      <c r="H232" s="41"/>
      <c r="I232" s="43"/>
      <c r="J232" s="43"/>
      <c r="K232" s="43"/>
    </row>
    <row r="233" spans="1:11" ht="12.75" customHeight="1" x14ac:dyDescent="0.2">
      <c r="A233" s="43"/>
      <c r="B233" s="43"/>
      <c r="C233" s="43"/>
      <c r="D233" s="70"/>
      <c r="E233" s="43"/>
      <c r="F233" s="41"/>
      <c r="G233" s="41"/>
      <c r="H233" s="41"/>
      <c r="I233" s="43"/>
      <c r="J233" s="43"/>
      <c r="K233" s="43"/>
    </row>
    <row r="234" spans="1:11" ht="12.75" customHeight="1" x14ac:dyDescent="0.2">
      <c r="A234" s="43"/>
      <c r="B234" s="43"/>
      <c r="C234" s="43"/>
      <c r="D234" s="70"/>
      <c r="E234" s="43"/>
      <c r="F234" s="41"/>
      <c r="G234" s="41"/>
      <c r="H234" s="41"/>
      <c r="I234" s="43"/>
      <c r="J234" s="43"/>
      <c r="K234" s="43"/>
    </row>
    <row r="235" spans="1:11" ht="12.75" customHeight="1" x14ac:dyDescent="0.2">
      <c r="A235" s="43"/>
      <c r="B235" s="43"/>
      <c r="C235" s="43"/>
      <c r="D235" s="70"/>
      <c r="E235" s="43"/>
      <c r="F235" s="41"/>
      <c r="G235" s="41"/>
      <c r="H235" s="41"/>
      <c r="I235" s="43"/>
      <c r="J235" s="43"/>
      <c r="K235" s="43"/>
    </row>
    <row r="236" spans="1:11" ht="12.75" customHeight="1" x14ac:dyDescent="0.2">
      <c r="A236" s="43"/>
      <c r="B236" s="43"/>
      <c r="C236" s="43"/>
      <c r="D236" s="70"/>
      <c r="E236" s="43"/>
      <c r="F236" s="41"/>
      <c r="G236" s="41"/>
      <c r="H236" s="41"/>
      <c r="I236" s="43"/>
      <c r="J236" s="43"/>
      <c r="K236" s="43"/>
    </row>
    <row r="237" spans="1:11" ht="12.75" customHeight="1" x14ac:dyDescent="0.2">
      <c r="A237" s="43"/>
      <c r="B237" s="43"/>
      <c r="C237" s="43"/>
      <c r="D237" s="70"/>
      <c r="E237" s="43"/>
      <c r="F237" s="41"/>
      <c r="G237" s="41"/>
      <c r="H237" s="41"/>
      <c r="I237" s="43"/>
      <c r="J237" s="43"/>
      <c r="K237" s="43"/>
    </row>
    <row r="238" spans="1:11" ht="12.75" customHeight="1" x14ac:dyDescent="0.2">
      <c r="A238" s="43"/>
      <c r="B238" s="43"/>
      <c r="C238" s="43"/>
      <c r="D238" s="70"/>
      <c r="E238" s="43"/>
      <c r="F238" s="41"/>
      <c r="G238" s="41"/>
      <c r="H238" s="41"/>
      <c r="I238" s="43"/>
      <c r="J238" s="43"/>
      <c r="K238" s="43"/>
    </row>
    <row r="239" spans="1:11" ht="12.75" customHeight="1" x14ac:dyDescent="0.2">
      <c r="A239" s="43"/>
      <c r="B239" s="43"/>
      <c r="C239" s="43"/>
      <c r="D239" s="70"/>
      <c r="E239" s="43"/>
      <c r="F239" s="41"/>
      <c r="G239" s="41"/>
      <c r="H239" s="41"/>
      <c r="I239" s="43"/>
      <c r="J239" s="43"/>
      <c r="K239" s="43"/>
    </row>
    <row r="240" spans="1:11" ht="12.75" customHeight="1" x14ac:dyDescent="0.2">
      <c r="A240" s="43"/>
      <c r="B240" s="43"/>
      <c r="C240" s="43"/>
      <c r="D240" s="70"/>
      <c r="E240" s="43"/>
      <c r="F240" s="41"/>
      <c r="G240" s="41"/>
      <c r="H240" s="41"/>
      <c r="I240" s="43"/>
      <c r="J240" s="43"/>
      <c r="K240" s="43"/>
    </row>
    <row r="241" spans="1:11" ht="12.75" customHeight="1" x14ac:dyDescent="0.2">
      <c r="A241" s="43"/>
      <c r="B241" s="43"/>
      <c r="C241" s="43"/>
      <c r="D241" s="70"/>
      <c r="E241" s="43"/>
      <c r="F241" s="41"/>
      <c r="G241" s="41"/>
      <c r="H241" s="41"/>
      <c r="I241" s="43"/>
      <c r="J241" s="43"/>
      <c r="K241" s="43"/>
    </row>
    <row r="242" spans="1:11" ht="12.75" customHeight="1" x14ac:dyDescent="0.2">
      <c r="A242" s="43"/>
      <c r="B242" s="43"/>
      <c r="C242" s="43"/>
      <c r="D242" s="70"/>
      <c r="E242" s="43"/>
      <c r="F242" s="41"/>
      <c r="G242" s="41"/>
      <c r="H242" s="41"/>
      <c r="I242" s="43"/>
      <c r="J242" s="43"/>
      <c r="K242" s="43"/>
    </row>
    <row r="243" spans="1:11" ht="12.75" customHeight="1" x14ac:dyDescent="0.2">
      <c r="A243" s="43"/>
      <c r="B243" s="43"/>
      <c r="C243" s="43"/>
      <c r="D243" s="70"/>
      <c r="E243" s="43"/>
      <c r="F243" s="41"/>
      <c r="G243" s="41"/>
      <c r="H243" s="41"/>
      <c r="I243" s="43"/>
      <c r="J243" s="43"/>
      <c r="K243" s="43"/>
    </row>
    <row r="244" spans="1:11" ht="12.75" customHeight="1" x14ac:dyDescent="0.2">
      <c r="A244" s="43"/>
      <c r="B244" s="43"/>
      <c r="C244" s="43"/>
      <c r="D244" s="70"/>
      <c r="E244" s="43"/>
      <c r="F244" s="41"/>
      <c r="G244" s="41"/>
      <c r="H244" s="41"/>
      <c r="I244" s="43"/>
      <c r="J244" s="43"/>
      <c r="K244" s="43"/>
    </row>
    <row r="245" spans="1:11" ht="12.75" customHeight="1" x14ac:dyDescent="0.2">
      <c r="A245" s="43"/>
      <c r="B245" s="43"/>
      <c r="C245" s="43"/>
      <c r="D245" s="70"/>
      <c r="E245" s="43"/>
      <c r="F245" s="41"/>
      <c r="G245" s="41"/>
      <c r="H245" s="41"/>
      <c r="I245" s="43"/>
      <c r="J245" s="43"/>
      <c r="K245" s="43"/>
    </row>
    <row r="246" spans="1:11" ht="12.75" customHeight="1" x14ac:dyDescent="0.2">
      <c r="A246" s="43"/>
      <c r="B246" s="43"/>
      <c r="C246" s="43"/>
      <c r="D246" s="70"/>
      <c r="E246" s="43"/>
      <c r="F246" s="41"/>
      <c r="G246" s="41"/>
      <c r="H246" s="41"/>
      <c r="I246" s="43"/>
      <c r="J246" s="43"/>
      <c r="K246" s="43"/>
    </row>
    <row r="247" spans="1:11" ht="12.75" customHeight="1" x14ac:dyDescent="0.2">
      <c r="A247" s="43"/>
      <c r="B247" s="43"/>
      <c r="C247" s="43"/>
      <c r="D247" s="70"/>
      <c r="E247" s="43"/>
      <c r="F247" s="41"/>
      <c r="G247" s="41"/>
      <c r="H247" s="41"/>
      <c r="I247" s="43"/>
      <c r="J247" s="43"/>
      <c r="K247" s="43"/>
    </row>
    <row r="248" spans="1:11" ht="12.75" customHeight="1" x14ac:dyDescent="0.2">
      <c r="A248" s="43"/>
      <c r="B248" s="43"/>
      <c r="C248" s="43"/>
      <c r="D248" s="70"/>
      <c r="E248" s="43"/>
      <c r="F248" s="41"/>
      <c r="G248" s="41"/>
      <c r="H248" s="41"/>
      <c r="I248" s="43"/>
      <c r="J248" s="43"/>
      <c r="K248" s="43"/>
    </row>
    <row r="249" spans="1:11" ht="12.75" customHeight="1" x14ac:dyDescent="0.2">
      <c r="A249" s="43"/>
      <c r="B249" s="43"/>
      <c r="C249" s="43"/>
      <c r="D249" s="70"/>
      <c r="E249" s="43"/>
      <c r="F249" s="41"/>
      <c r="G249" s="41"/>
      <c r="H249" s="41"/>
      <c r="I249" s="43"/>
      <c r="J249" s="43"/>
      <c r="K249" s="43"/>
    </row>
    <row r="250" spans="1:11" ht="12.75" customHeight="1" x14ac:dyDescent="0.2">
      <c r="A250" s="43"/>
      <c r="B250" s="43"/>
      <c r="C250" s="43"/>
      <c r="D250" s="70"/>
      <c r="E250" s="43"/>
      <c r="F250" s="41"/>
      <c r="G250" s="41"/>
      <c r="H250" s="41"/>
      <c r="I250" s="43"/>
      <c r="J250" s="43"/>
      <c r="K250" s="43"/>
    </row>
    <row r="251" spans="1:11" ht="12.75" customHeight="1" x14ac:dyDescent="0.2">
      <c r="A251" s="43"/>
      <c r="B251" s="43"/>
      <c r="C251" s="43"/>
      <c r="D251" s="70"/>
      <c r="E251" s="43"/>
      <c r="F251" s="41"/>
      <c r="G251" s="41"/>
      <c r="H251" s="41"/>
      <c r="I251" s="43"/>
      <c r="J251" s="43"/>
      <c r="K251" s="43"/>
    </row>
    <row r="252" spans="1:11" ht="12.75" customHeight="1" x14ac:dyDescent="0.2">
      <c r="F252" s="31"/>
      <c r="G252" s="31"/>
      <c r="H252" s="31"/>
    </row>
    <row r="253" spans="1:11" ht="12.75" customHeight="1" x14ac:dyDescent="0.2">
      <c r="F253" s="31"/>
      <c r="G253" s="31"/>
      <c r="H253" s="31"/>
    </row>
    <row r="254" spans="1:11" ht="12.75" customHeight="1" x14ac:dyDescent="0.2">
      <c r="F254" s="31"/>
      <c r="G254" s="31"/>
      <c r="H254" s="31"/>
    </row>
    <row r="255" spans="1:11" ht="12.75" customHeight="1" x14ac:dyDescent="0.2">
      <c r="F255" s="31"/>
      <c r="G255" s="31"/>
      <c r="H255" s="31"/>
    </row>
    <row r="256" spans="1:11" ht="12.75" customHeight="1" x14ac:dyDescent="0.2">
      <c r="F256" s="31"/>
      <c r="G256" s="31"/>
      <c r="H256" s="31"/>
    </row>
    <row r="257" spans="6:8" ht="12.75" customHeight="1" x14ac:dyDescent="0.2">
      <c r="F257" s="31"/>
      <c r="G257" s="31"/>
      <c r="H257" s="31"/>
    </row>
    <row r="258" spans="6:8" ht="12.75" customHeight="1" x14ac:dyDescent="0.2">
      <c r="F258" s="31"/>
      <c r="G258" s="31"/>
      <c r="H258" s="31"/>
    </row>
    <row r="259" spans="6:8" ht="12.75" customHeight="1" x14ac:dyDescent="0.2">
      <c r="F259" s="31"/>
      <c r="G259" s="31"/>
      <c r="H259" s="31"/>
    </row>
    <row r="260" spans="6:8" ht="12.75" customHeight="1" x14ac:dyDescent="0.2">
      <c r="F260" s="31"/>
      <c r="G260" s="31"/>
      <c r="H260" s="31"/>
    </row>
    <row r="261" spans="6:8" ht="12.75" customHeight="1" x14ac:dyDescent="0.2">
      <c r="F261" s="31"/>
      <c r="G261" s="31"/>
      <c r="H261" s="31"/>
    </row>
    <row r="262" spans="6:8" ht="12.75" customHeight="1" x14ac:dyDescent="0.2">
      <c r="F262" s="31"/>
      <c r="G262" s="31"/>
      <c r="H262" s="31"/>
    </row>
    <row r="263" spans="6:8" ht="12.75" customHeight="1" x14ac:dyDescent="0.2">
      <c r="F263" s="31"/>
      <c r="G263" s="31"/>
      <c r="H263" s="31"/>
    </row>
    <row r="264" spans="6:8" ht="12.75" customHeight="1" x14ac:dyDescent="0.2">
      <c r="F264" s="31"/>
      <c r="G264" s="31"/>
      <c r="H264" s="31"/>
    </row>
    <row r="265" spans="6:8" ht="12.75" customHeight="1" x14ac:dyDescent="0.2">
      <c r="F265" s="31"/>
      <c r="G265" s="31"/>
      <c r="H265" s="31"/>
    </row>
    <row r="266" spans="6:8" ht="12.75" customHeight="1" x14ac:dyDescent="0.2">
      <c r="F266" s="31"/>
      <c r="G266" s="31"/>
      <c r="H266" s="31"/>
    </row>
    <row r="267" spans="6:8" ht="12.75" customHeight="1" x14ac:dyDescent="0.2">
      <c r="F267" s="31"/>
      <c r="G267" s="31"/>
      <c r="H267" s="31"/>
    </row>
    <row r="268" spans="6:8" ht="12.75" customHeight="1" x14ac:dyDescent="0.2">
      <c r="F268" s="31"/>
      <c r="G268" s="31"/>
      <c r="H268" s="31"/>
    </row>
    <row r="269" spans="6:8" ht="12.75" customHeight="1" x14ac:dyDescent="0.2">
      <c r="F269" s="31"/>
      <c r="G269" s="31"/>
      <c r="H269" s="31"/>
    </row>
    <row r="270" spans="6:8" ht="12.75" customHeight="1" x14ac:dyDescent="0.2">
      <c r="F270" s="31"/>
      <c r="G270" s="31"/>
      <c r="H270" s="31"/>
    </row>
    <row r="271" spans="6:8" ht="12.75" customHeight="1" x14ac:dyDescent="0.2">
      <c r="F271" s="31"/>
      <c r="G271" s="31"/>
      <c r="H271" s="31"/>
    </row>
    <row r="272" spans="6:8" ht="12.75" customHeight="1" x14ac:dyDescent="0.2">
      <c r="F272" s="31"/>
      <c r="G272" s="31"/>
      <c r="H272" s="31"/>
    </row>
    <row r="273" spans="6:8" ht="12.75" customHeight="1" x14ac:dyDescent="0.2">
      <c r="F273" s="31"/>
      <c r="G273" s="31"/>
      <c r="H273" s="31"/>
    </row>
    <row r="274" spans="6:8" ht="12.75" customHeight="1" x14ac:dyDescent="0.2">
      <c r="F274" s="31"/>
      <c r="G274" s="31"/>
      <c r="H274" s="31"/>
    </row>
    <row r="275" spans="6:8" ht="12.75" customHeight="1" x14ac:dyDescent="0.2">
      <c r="F275" s="31"/>
      <c r="G275" s="31"/>
      <c r="H275" s="31"/>
    </row>
    <row r="276" spans="6:8" ht="12.75" customHeight="1" x14ac:dyDescent="0.2">
      <c r="F276" s="31"/>
      <c r="G276" s="31"/>
      <c r="H276" s="31"/>
    </row>
    <row r="277" spans="6:8" ht="12.75" customHeight="1" x14ac:dyDescent="0.2">
      <c r="F277" s="31"/>
      <c r="G277" s="31"/>
      <c r="H277" s="31"/>
    </row>
    <row r="278" spans="6:8" ht="12.75" customHeight="1" x14ac:dyDescent="0.2">
      <c r="F278" s="31"/>
      <c r="G278" s="31"/>
      <c r="H278" s="31"/>
    </row>
    <row r="279" spans="6:8" ht="12.75" customHeight="1" x14ac:dyDescent="0.2">
      <c r="F279" s="31"/>
      <c r="G279" s="31"/>
      <c r="H279" s="31"/>
    </row>
    <row r="280" spans="6:8" ht="12.75" customHeight="1" x14ac:dyDescent="0.2">
      <c r="F280" s="31"/>
      <c r="G280" s="31"/>
      <c r="H280" s="31"/>
    </row>
    <row r="281" spans="6:8" ht="12.75" customHeight="1" x14ac:dyDescent="0.2">
      <c r="F281" s="31"/>
      <c r="G281" s="31"/>
      <c r="H281" s="31"/>
    </row>
    <row r="282" spans="6:8" ht="12.75" customHeight="1" x14ac:dyDescent="0.2">
      <c r="F282" s="31"/>
      <c r="G282" s="31"/>
      <c r="H282" s="31"/>
    </row>
    <row r="283" spans="6:8" ht="12.75" customHeight="1" x14ac:dyDescent="0.2">
      <c r="F283" s="31"/>
      <c r="G283" s="31"/>
      <c r="H283" s="31"/>
    </row>
    <row r="284" spans="6:8" ht="12.75" customHeight="1" x14ac:dyDescent="0.2">
      <c r="F284" s="31"/>
      <c r="G284" s="31"/>
      <c r="H284" s="31"/>
    </row>
    <row r="285" spans="6:8" ht="12.75" customHeight="1" x14ac:dyDescent="0.2">
      <c r="F285" s="31"/>
      <c r="G285" s="31"/>
      <c r="H285" s="31"/>
    </row>
    <row r="286" spans="6:8" ht="12.75" customHeight="1" x14ac:dyDescent="0.2">
      <c r="F286" s="31"/>
      <c r="G286" s="31"/>
      <c r="H286" s="31"/>
    </row>
    <row r="287" spans="6:8" ht="12.75" customHeight="1" x14ac:dyDescent="0.2">
      <c r="F287" s="31"/>
      <c r="G287" s="31"/>
      <c r="H287" s="31"/>
    </row>
    <row r="288" spans="6:8" ht="12.75" customHeight="1" x14ac:dyDescent="0.2">
      <c r="F288" s="31"/>
      <c r="G288" s="31"/>
      <c r="H288" s="31"/>
    </row>
    <row r="289" spans="6:8" ht="12.75" customHeight="1" x14ac:dyDescent="0.2">
      <c r="F289" s="31"/>
      <c r="G289" s="31"/>
      <c r="H289" s="31"/>
    </row>
    <row r="290" spans="6:8" ht="12.75" customHeight="1" x14ac:dyDescent="0.2">
      <c r="F290" s="31"/>
      <c r="G290" s="31"/>
      <c r="H290" s="31"/>
    </row>
    <row r="291" spans="6:8" ht="12.75" customHeight="1" x14ac:dyDescent="0.2">
      <c r="F291" s="31"/>
      <c r="G291" s="31"/>
      <c r="H291" s="31"/>
    </row>
    <row r="292" spans="6:8" ht="12.75" customHeight="1" x14ac:dyDescent="0.2">
      <c r="F292" s="31"/>
      <c r="G292" s="31"/>
      <c r="H292" s="31"/>
    </row>
    <row r="293" spans="6:8" ht="12.75" customHeight="1" x14ac:dyDescent="0.2">
      <c r="F293" s="31"/>
      <c r="G293" s="31"/>
      <c r="H293" s="31"/>
    </row>
    <row r="294" spans="6:8" ht="12.75" customHeight="1" x14ac:dyDescent="0.2">
      <c r="F294" s="31"/>
      <c r="G294" s="31"/>
      <c r="H294" s="31"/>
    </row>
    <row r="295" spans="6:8" ht="12.75" customHeight="1" x14ac:dyDescent="0.2">
      <c r="F295" s="31"/>
      <c r="G295" s="31"/>
      <c r="H295" s="31"/>
    </row>
    <row r="296" spans="6:8" ht="12.75" customHeight="1" x14ac:dyDescent="0.2">
      <c r="F296" s="31"/>
      <c r="G296" s="31"/>
      <c r="H296" s="31"/>
    </row>
    <row r="297" spans="6:8" ht="12.75" customHeight="1" x14ac:dyDescent="0.2">
      <c r="F297" s="31"/>
      <c r="G297" s="31"/>
      <c r="H297" s="31"/>
    </row>
    <row r="298" spans="6:8" ht="12.75" customHeight="1" x14ac:dyDescent="0.2">
      <c r="F298" s="31"/>
      <c r="G298" s="31"/>
      <c r="H298" s="31"/>
    </row>
    <row r="299" spans="6:8" ht="12.75" customHeight="1" x14ac:dyDescent="0.2">
      <c r="F299" s="31"/>
      <c r="G299" s="31"/>
      <c r="H299" s="31"/>
    </row>
    <row r="300" spans="6:8" ht="12.75" customHeight="1" x14ac:dyDescent="0.2">
      <c r="F300" s="31"/>
      <c r="G300" s="31"/>
      <c r="H300" s="31"/>
    </row>
    <row r="301" spans="6:8" ht="12.75" customHeight="1" x14ac:dyDescent="0.2">
      <c r="F301" s="31"/>
      <c r="G301" s="31"/>
      <c r="H301" s="31"/>
    </row>
    <row r="302" spans="6:8" ht="12.75" customHeight="1" x14ac:dyDescent="0.2">
      <c r="F302" s="31"/>
      <c r="G302" s="31"/>
      <c r="H302" s="31"/>
    </row>
    <row r="303" spans="6:8" ht="12.75" customHeight="1" x14ac:dyDescent="0.2">
      <c r="F303" s="31"/>
      <c r="G303" s="31"/>
      <c r="H303" s="31"/>
    </row>
    <row r="304" spans="6:8" ht="12.75" customHeight="1" x14ac:dyDescent="0.2">
      <c r="F304" s="31"/>
      <c r="G304" s="31"/>
      <c r="H304" s="31"/>
    </row>
    <row r="305" spans="6:8" ht="12.75" customHeight="1" x14ac:dyDescent="0.2">
      <c r="F305" s="31"/>
      <c r="G305" s="31"/>
      <c r="H305" s="31"/>
    </row>
    <row r="306" spans="6:8" ht="12.75" customHeight="1" x14ac:dyDescent="0.2">
      <c r="F306" s="31"/>
      <c r="G306" s="31"/>
      <c r="H306" s="31"/>
    </row>
    <row r="307" spans="6:8" ht="12.75" customHeight="1" x14ac:dyDescent="0.2">
      <c r="F307" s="31"/>
      <c r="G307" s="31"/>
      <c r="H307" s="31"/>
    </row>
    <row r="308" spans="6:8" ht="12.75" customHeight="1" x14ac:dyDescent="0.2">
      <c r="F308" s="31"/>
      <c r="G308" s="31"/>
      <c r="H308" s="31"/>
    </row>
    <row r="309" spans="6:8" ht="12.75" customHeight="1" x14ac:dyDescent="0.2">
      <c r="F309" s="31"/>
      <c r="G309" s="31"/>
      <c r="H309" s="31"/>
    </row>
    <row r="310" spans="6:8" ht="12.75" customHeight="1" x14ac:dyDescent="0.2">
      <c r="F310" s="31"/>
      <c r="G310" s="31"/>
      <c r="H310" s="31"/>
    </row>
    <row r="311" spans="6:8" ht="12.75" customHeight="1" x14ac:dyDescent="0.2">
      <c r="F311" s="31"/>
      <c r="G311" s="31"/>
      <c r="H311" s="31"/>
    </row>
    <row r="312" spans="6:8" ht="12.75" customHeight="1" x14ac:dyDescent="0.2">
      <c r="F312" s="31"/>
      <c r="G312" s="31"/>
      <c r="H312" s="31"/>
    </row>
    <row r="313" spans="6:8" ht="12.75" customHeight="1" x14ac:dyDescent="0.2">
      <c r="F313" s="31"/>
      <c r="G313" s="31"/>
      <c r="H313" s="31"/>
    </row>
    <row r="314" spans="6:8" ht="12.75" customHeight="1" x14ac:dyDescent="0.2">
      <c r="F314" s="31"/>
      <c r="G314" s="31"/>
      <c r="H314" s="31"/>
    </row>
    <row r="315" spans="6:8" ht="12.75" customHeight="1" x14ac:dyDescent="0.2">
      <c r="F315" s="31"/>
      <c r="G315" s="31"/>
      <c r="H315" s="31"/>
    </row>
    <row r="316" spans="6:8" ht="12.75" customHeight="1" x14ac:dyDescent="0.2">
      <c r="F316" s="31"/>
      <c r="G316" s="31"/>
      <c r="H316" s="31"/>
    </row>
    <row r="317" spans="6:8" ht="12.75" customHeight="1" x14ac:dyDescent="0.2">
      <c r="F317" s="31"/>
      <c r="G317" s="31"/>
      <c r="H317" s="31"/>
    </row>
    <row r="318" spans="6:8" ht="12.75" customHeight="1" x14ac:dyDescent="0.2">
      <c r="F318" s="31"/>
      <c r="G318" s="31"/>
      <c r="H318" s="31"/>
    </row>
    <row r="319" spans="6:8" ht="12.75" customHeight="1" x14ac:dyDescent="0.2">
      <c r="F319" s="31"/>
      <c r="G319" s="31"/>
      <c r="H319" s="31"/>
    </row>
    <row r="320" spans="6:8" ht="12.75" customHeight="1" x14ac:dyDescent="0.2">
      <c r="F320" s="31"/>
      <c r="G320" s="31"/>
      <c r="H320" s="31"/>
    </row>
    <row r="321" spans="6:8" ht="12.75" customHeight="1" x14ac:dyDescent="0.2">
      <c r="F321" s="31"/>
      <c r="G321" s="31"/>
      <c r="H321" s="31"/>
    </row>
    <row r="322" spans="6:8" ht="12.75" customHeight="1" x14ac:dyDescent="0.2">
      <c r="F322" s="31"/>
      <c r="G322" s="31"/>
      <c r="H322" s="31"/>
    </row>
    <row r="323" spans="6:8" ht="12.75" customHeight="1" x14ac:dyDescent="0.2">
      <c r="F323" s="31"/>
      <c r="G323" s="31"/>
      <c r="H323" s="31"/>
    </row>
    <row r="324" spans="6:8" ht="12.75" customHeight="1" x14ac:dyDescent="0.2">
      <c r="F324" s="31"/>
      <c r="G324" s="31"/>
      <c r="H324" s="31"/>
    </row>
    <row r="325" spans="6:8" ht="12.75" customHeight="1" x14ac:dyDescent="0.2">
      <c r="F325" s="31"/>
      <c r="G325" s="31"/>
      <c r="H325" s="31"/>
    </row>
    <row r="326" spans="6:8" ht="12.75" customHeight="1" x14ac:dyDescent="0.2">
      <c r="F326" s="31"/>
      <c r="G326" s="31"/>
      <c r="H326" s="31"/>
    </row>
    <row r="327" spans="6:8" ht="12.75" customHeight="1" x14ac:dyDescent="0.2">
      <c r="F327" s="31"/>
      <c r="G327" s="31"/>
      <c r="H327" s="31"/>
    </row>
    <row r="328" spans="6:8" ht="12.75" customHeight="1" x14ac:dyDescent="0.2">
      <c r="F328" s="31"/>
      <c r="G328" s="31"/>
      <c r="H328" s="31"/>
    </row>
    <row r="329" spans="6:8" ht="12.75" customHeight="1" x14ac:dyDescent="0.2">
      <c r="F329" s="31"/>
      <c r="G329" s="31"/>
      <c r="H329" s="31"/>
    </row>
    <row r="330" spans="6:8" ht="12.75" customHeight="1" x14ac:dyDescent="0.2">
      <c r="F330" s="31"/>
      <c r="G330" s="31"/>
      <c r="H330" s="31"/>
    </row>
    <row r="331" spans="6:8" ht="12.75" customHeight="1" x14ac:dyDescent="0.2">
      <c r="F331" s="31"/>
      <c r="G331" s="31"/>
      <c r="H331" s="31"/>
    </row>
    <row r="332" spans="6:8" ht="12.75" customHeight="1" x14ac:dyDescent="0.2">
      <c r="F332" s="31"/>
      <c r="G332" s="31"/>
      <c r="H332" s="31"/>
    </row>
    <row r="333" spans="6:8" ht="12.75" customHeight="1" x14ac:dyDescent="0.2">
      <c r="F333" s="31"/>
      <c r="G333" s="31"/>
      <c r="H333" s="31"/>
    </row>
    <row r="334" spans="6:8" ht="12.75" customHeight="1" x14ac:dyDescent="0.2">
      <c r="F334" s="31"/>
      <c r="G334" s="31"/>
      <c r="H334" s="31"/>
    </row>
    <row r="335" spans="6:8" ht="12.75" customHeight="1" x14ac:dyDescent="0.2">
      <c r="F335" s="31"/>
      <c r="G335" s="31"/>
      <c r="H335" s="31"/>
    </row>
    <row r="336" spans="6:8" ht="12.75" customHeight="1" x14ac:dyDescent="0.2">
      <c r="F336" s="31"/>
      <c r="G336" s="31"/>
      <c r="H336" s="31"/>
    </row>
    <row r="337" spans="6:8" ht="12.75" customHeight="1" x14ac:dyDescent="0.2">
      <c r="F337" s="31"/>
      <c r="G337" s="31"/>
      <c r="H337" s="31"/>
    </row>
    <row r="338" spans="6:8" ht="12.75" customHeight="1" x14ac:dyDescent="0.2">
      <c r="F338" s="31"/>
      <c r="G338" s="31"/>
      <c r="H338" s="31"/>
    </row>
    <row r="339" spans="6:8" ht="12.75" customHeight="1" x14ac:dyDescent="0.2">
      <c r="F339" s="31"/>
      <c r="G339" s="31"/>
      <c r="H339" s="31"/>
    </row>
    <row r="340" spans="6:8" ht="12.75" customHeight="1" x14ac:dyDescent="0.2">
      <c r="F340" s="31"/>
      <c r="G340" s="31"/>
      <c r="H340" s="31"/>
    </row>
    <row r="341" spans="6:8" ht="12.75" customHeight="1" x14ac:dyDescent="0.2">
      <c r="F341" s="31"/>
      <c r="G341" s="31"/>
      <c r="H341" s="31"/>
    </row>
    <row r="342" spans="6:8" ht="12.75" customHeight="1" x14ac:dyDescent="0.2">
      <c r="F342" s="31"/>
      <c r="G342" s="31"/>
      <c r="H342" s="31"/>
    </row>
    <row r="343" spans="6:8" ht="12.75" customHeight="1" x14ac:dyDescent="0.2">
      <c r="F343" s="31"/>
      <c r="G343" s="31"/>
      <c r="H343" s="31"/>
    </row>
    <row r="344" spans="6:8" ht="12.75" customHeight="1" x14ac:dyDescent="0.2">
      <c r="F344" s="31"/>
      <c r="G344" s="31"/>
      <c r="H344" s="31"/>
    </row>
    <row r="345" spans="6:8" ht="12.75" customHeight="1" x14ac:dyDescent="0.2">
      <c r="F345" s="31"/>
      <c r="G345" s="31"/>
      <c r="H345" s="31"/>
    </row>
    <row r="346" spans="6:8" ht="12.75" customHeight="1" x14ac:dyDescent="0.2">
      <c r="F346" s="31"/>
      <c r="G346" s="31"/>
      <c r="H346" s="31"/>
    </row>
    <row r="347" spans="6:8" ht="12.75" customHeight="1" x14ac:dyDescent="0.2">
      <c r="F347" s="31"/>
      <c r="G347" s="31"/>
      <c r="H347" s="31"/>
    </row>
    <row r="348" spans="6:8" ht="12.75" customHeight="1" x14ac:dyDescent="0.2">
      <c r="F348" s="31"/>
      <c r="G348" s="31"/>
      <c r="H348" s="31"/>
    </row>
    <row r="349" spans="6:8" ht="12.75" customHeight="1" x14ac:dyDescent="0.2">
      <c r="F349" s="31"/>
      <c r="G349" s="31"/>
      <c r="H349" s="31"/>
    </row>
    <row r="350" spans="6:8" ht="12.75" customHeight="1" x14ac:dyDescent="0.2">
      <c r="F350" s="31"/>
      <c r="G350" s="31"/>
      <c r="H350" s="31"/>
    </row>
    <row r="351" spans="6:8" ht="12.75" customHeight="1" x14ac:dyDescent="0.2">
      <c r="F351" s="31"/>
      <c r="G351" s="31"/>
      <c r="H351" s="31"/>
    </row>
    <row r="352" spans="6:8" ht="12.75" customHeight="1" x14ac:dyDescent="0.2">
      <c r="F352" s="31"/>
      <c r="G352" s="31"/>
      <c r="H352" s="31"/>
    </row>
    <row r="353" spans="6:8" ht="12.75" customHeight="1" x14ac:dyDescent="0.2">
      <c r="F353" s="31"/>
      <c r="G353" s="31"/>
      <c r="H353" s="31"/>
    </row>
    <row r="354" spans="6:8" ht="12.75" customHeight="1" x14ac:dyDescent="0.2">
      <c r="F354" s="31"/>
      <c r="G354" s="31"/>
      <c r="H354" s="31"/>
    </row>
    <row r="355" spans="6:8" ht="12.75" customHeight="1" x14ac:dyDescent="0.2">
      <c r="F355" s="31"/>
      <c r="G355" s="31"/>
      <c r="H355" s="31"/>
    </row>
    <row r="356" spans="6:8" ht="12.75" customHeight="1" x14ac:dyDescent="0.2">
      <c r="F356" s="31"/>
      <c r="G356" s="31"/>
      <c r="H356" s="31"/>
    </row>
    <row r="357" spans="6:8" ht="12.75" customHeight="1" x14ac:dyDescent="0.2">
      <c r="F357" s="31"/>
      <c r="G357" s="31"/>
      <c r="H357" s="31"/>
    </row>
    <row r="358" spans="6:8" ht="12.75" customHeight="1" x14ac:dyDescent="0.2">
      <c r="F358" s="31"/>
      <c r="G358" s="31"/>
      <c r="H358" s="31"/>
    </row>
    <row r="359" spans="6:8" ht="12.75" customHeight="1" x14ac:dyDescent="0.2">
      <c r="F359" s="31"/>
      <c r="G359" s="31"/>
      <c r="H359" s="31"/>
    </row>
    <row r="360" spans="6:8" ht="12.75" customHeight="1" x14ac:dyDescent="0.2">
      <c r="F360" s="31"/>
      <c r="G360" s="31"/>
      <c r="H360" s="31"/>
    </row>
    <row r="361" spans="6:8" ht="12.75" customHeight="1" x14ac:dyDescent="0.2">
      <c r="F361" s="31"/>
      <c r="G361" s="31"/>
      <c r="H361" s="31"/>
    </row>
    <row r="362" spans="6:8" ht="12.75" customHeight="1" x14ac:dyDescent="0.2">
      <c r="F362" s="31"/>
      <c r="G362" s="31"/>
      <c r="H362" s="31"/>
    </row>
    <row r="363" spans="6:8" ht="12.75" customHeight="1" x14ac:dyDescent="0.2">
      <c r="F363" s="31"/>
      <c r="G363" s="31"/>
      <c r="H363" s="31"/>
    </row>
    <row r="364" spans="6:8" ht="12.75" customHeight="1" x14ac:dyDescent="0.2">
      <c r="F364" s="31"/>
      <c r="G364" s="31"/>
      <c r="H364" s="31"/>
    </row>
    <row r="365" spans="6:8" ht="12.75" customHeight="1" x14ac:dyDescent="0.2">
      <c r="F365" s="31"/>
      <c r="G365" s="31"/>
      <c r="H365" s="31"/>
    </row>
    <row r="366" spans="6:8" ht="12.75" customHeight="1" x14ac:dyDescent="0.2">
      <c r="F366" s="31"/>
      <c r="G366" s="31"/>
      <c r="H366" s="31"/>
    </row>
    <row r="367" spans="6:8" ht="12.75" customHeight="1" x14ac:dyDescent="0.2">
      <c r="F367" s="31"/>
      <c r="G367" s="31"/>
      <c r="H367" s="31"/>
    </row>
    <row r="368" spans="6:8" ht="12.75" customHeight="1" x14ac:dyDescent="0.2">
      <c r="F368" s="31"/>
      <c r="G368" s="31"/>
      <c r="H368" s="31"/>
    </row>
    <row r="369" spans="6:8" ht="12.75" customHeight="1" x14ac:dyDescent="0.2">
      <c r="F369" s="31"/>
      <c r="G369" s="31"/>
      <c r="H369" s="31"/>
    </row>
    <row r="370" spans="6:8" ht="12.75" customHeight="1" x14ac:dyDescent="0.2">
      <c r="F370" s="31"/>
      <c r="G370" s="31"/>
      <c r="H370" s="31"/>
    </row>
    <row r="371" spans="6:8" ht="12.75" customHeight="1" x14ac:dyDescent="0.2">
      <c r="F371" s="31"/>
      <c r="G371" s="31"/>
      <c r="H371" s="31"/>
    </row>
    <row r="372" spans="6:8" ht="12.75" customHeight="1" x14ac:dyDescent="0.2">
      <c r="F372" s="31"/>
      <c r="G372" s="31"/>
      <c r="H372" s="31"/>
    </row>
    <row r="373" spans="6:8" ht="12.75" customHeight="1" x14ac:dyDescent="0.2">
      <c r="F373" s="31"/>
      <c r="G373" s="31"/>
      <c r="H373" s="31"/>
    </row>
    <row r="374" spans="6:8" ht="12.75" customHeight="1" x14ac:dyDescent="0.2">
      <c r="F374" s="31"/>
      <c r="G374" s="31"/>
      <c r="H374" s="31"/>
    </row>
    <row r="375" spans="6:8" ht="12.75" customHeight="1" x14ac:dyDescent="0.2">
      <c r="F375" s="31"/>
      <c r="G375" s="31"/>
      <c r="H375" s="31"/>
    </row>
    <row r="376" spans="6:8" ht="12.75" customHeight="1" x14ac:dyDescent="0.2">
      <c r="F376" s="31"/>
      <c r="G376" s="31"/>
      <c r="H376" s="31"/>
    </row>
    <row r="377" spans="6:8" ht="12.75" customHeight="1" x14ac:dyDescent="0.2">
      <c r="F377" s="31"/>
      <c r="G377" s="31"/>
      <c r="H377" s="31"/>
    </row>
    <row r="378" spans="6:8" ht="12.75" customHeight="1" x14ac:dyDescent="0.2">
      <c r="F378" s="31"/>
      <c r="G378" s="31"/>
      <c r="H378" s="31"/>
    </row>
    <row r="379" spans="6:8" ht="12.75" customHeight="1" x14ac:dyDescent="0.2">
      <c r="F379" s="31"/>
      <c r="G379" s="31"/>
      <c r="H379" s="31"/>
    </row>
    <row r="380" spans="6:8" ht="12.75" customHeight="1" x14ac:dyDescent="0.2">
      <c r="F380" s="31"/>
      <c r="G380" s="31"/>
      <c r="H380" s="31"/>
    </row>
    <row r="381" spans="6:8" ht="12.75" customHeight="1" x14ac:dyDescent="0.2">
      <c r="F381" s="31"/>
      <c r="G381" s="31"/>
      <c r="H381" s="31"/>
    </row>
    <row r="382" spans="6:8" ht="12.75" customHeight="1" x14ac:dyDescent="0.2">
      <c r="F382" s="31"/>
      <c r="G382" s="31"/>
      <c r="H382" s="31"/>
    </row>
    <row r="383" spans="6:8" ht="12.75" customHeight="1" x14ac:dyDescent="0.2">
      <c r="F383" s="31"/>
      <c r="G383" s="31"/>
      <c r="H383" s="31"/>
    </row>
    <row r="384" spans="6:8" ht="12.75" customHeight="1" x14ac:dyDescent="0.2">
      <c r="F384" s="31"/>
      <c r="G384" s="31"/>
      <c r="H384" s="31"/>
    </row>
    <row r="385" spans="6:8" ht="12.75" customHeight="1" x14ac:dyDescent="0.2">
      <c r="F385" s="31"/>
      <c r="G385" s="31"/>
      <c r="H385" s="31"/>
    </row>
    <row r="386" spans="6:8" ht="12.75" customHeight="1" x14ac:dyDescent="0.2">
      <c r="F386" s="31"/>
      <c r="G386" s="31"/>
      <c r="H386" s="31"/>
    </row>
    <row r="387" spans="6:8" ht="12.75" customHeight="1" x14ac:dyDescent="0.2">
      <c r="F387" s="31"/>
      <c r="G387" s="31"/>
      <c r="H387" s="31"/>
    </row>
    <row r="388" spans="6:8" ht="12.75" customHeight="1" x14ac:dyDescent="0.2">
      <c r="F388" s="31"/>
      <c r="G388" s="31"/>
      <c r="H388" s="31"/>
    </row>
    <row r="389" spans="6:8" ht="12.75" customHeight="1" x14ac:dyDescent="0.2">
      <c r="F389" s="31"/>
      <c r="G389" s="31"/>
      <c r="H389" s="31"/>
    </row>
    <row r="390" spans="6:8" ht="12.75" customHeight="1" x14ac:dyDescent="0.2">
      <c r="F390" s="31"/>
      <c r="G390" s="31"/>
      <c r="H390" s="31"/>
    </row>
    <row r="391" spans="6:8" ht="12.75" customHeight="1" x14ac:dyDescent="0.2">
      <c r="F391" s="31"/>
      <c r="G391" s="31"/>
      <c r="H391" s="31"/>
    </row>
    <row r="392" spans="6:8" ht="12.75" customHeight="1" x14ac:dyDescent="0.2">
      <c r="F392" s="31"/>
      <c r="G392" s="31"/>
      <c r="H392" s="31"/>
    </row>
    <row r="393" spans="6:8" ht="12.75" customHeight="1" x14ac:dyDescent="0.2">
      <c r="F393" s="31"/>
      <c r="G393" s="31"/>
      <c r="H393" s="31"/>
    </row>
    <row r="394" spans="6:8" ht="12.75" customHeight="1" x14ac:dyDescent="0.2">
      <c r="F394" s="31"/>
      <c r="G394" s="31"/>
      <c r="H394" s="31"/>
    </row>
    <row r="395" spans="6:8" ht="12.75" customHeight="1" x14ac:dyDescent="0.2">
      <c r="F395" s="31"/>
      <c r="G395" s="31"/>
      <c r="H395" s="31"/>
    </row>
    <row r="396" spans="6:8" ht="12.75" customHeight="1" x14ac:dyDescent="0.2">
      <c r="F396" s="31"/>
      <c r="G396" s="31"/>
      <c r="H396" s="31"/>
    </row>
    <row r="397" spans="6:8" ht="12.75" customHeight="1" x14ac:dyDescent="0.2">
      <c r="F397" s="31"/>
      <c r="G397" s="31"/>
      <c r="H397" s="31"/>
    </row>
    <row r="398" spans="6:8" ht="12.75" customHeight="1" x14ac:dyDescent="0.2">
      <c r="F398" s="31"/>
      <c r="G398" s="31"/>
      <c r="H398" s="31"/>
    </row>
    <row r="399" spans="6:8" ht="12.75" customHeight="1" x14ac:dyDescent="0.2">
      <c r="F399" s="31"/>
      <c r="G399" s="31"/>
      <c r="H399" s="31"/>
    </row>
    <row r="400" spans="6:8" ht="12.75" customHeight="1" x14ac:dyDescent="0.2">
      <c r="F400" s="31"/>
      <c r="G400" s="31"/>
      <c r="H400" s="31"/>
    </row>
    <row r="401" spans="6:8" ht="12.75" customHeight="1" x14ac:dyDescent="0.2">
      <c r="F401" s="31"/>
      <c r="G401" s="31"/>
      <c r="H401" s="31"/>
    </row>
    <row r="402" spans="6:8" ht="12.75" customHeight="1" x14ac:dyDescent="0.2">
      <c r="F402" s="31"/>
      <c r="G402" s="31"/>
      <c r="H402" s="31"/>
    </row>
    <row r="403" spans="6:8" ht="12.75" customHeight="1" x14ac:dyDescent="0.2">
      <c r="F403" s="31"/>
      <c r="G403" s="31"/>
      <c r="H403" s="31"/>
    </row>
    <row r="404" spans="6:8" ht="12.75" customHeight="1" x14ac:dyDescent="0.2">
      <c r="F404" s="31"/>
      <c r="G404" s="31"/>
      <c r="H404" s="31"/>
    </row>
    <row r="405" spans="6:8" ht="12.75" customHeight="1" x14ac:dyDescent="0.2">
      <c r="F405" s="31"/>
      <c r="G405" s="31"/>
      <c r="H405" s="31"/>
    </row>
    <row r="406" spans="6:8" ht="12.75" customHeight="1" x14ac:dyDescent="0.2">
      <c r="F406" s="31"/>
      <c r="G406" s="31"/>
      <c r="H406" s="31"/>
    </row>
    <row r="407" spans="6:8" ht="12.75" customHeight="1" x14ac:dyDescent="0.2">
      <c r="F407" s="31"/>
      <c r="G407" s="31"/>
      <c r="H407" s="31"/>
    </row>
    <row r="408" spans="6:8" ht="12.75" customHeight="1" x14ac:dyDescent="0.2">
      <c r="F408" s="31"/>
      <c r="G408" s="31"/>
      <c r="H408" s="31"/>
    </row>
    <row r="409" spans="6:8" ht="12.75" customHeight="1" x14ac:dyDescent="0.2">
      <c r="F409" s="31"/>
      <c r="G409" s="31"/>
      <c r="H409" s="31"/>
    </row>
    <row r="410" spans="6:8" ht="12.75" customHeight="1" x14ac:dyDescent="0.2">
      <c r="F410" s="31"/>
      <c r="G410" s="31"/>
      <c r="H410" s="31"/>
    </row>
    <row r="411" spans="6:8" ht="12.75" customHeight="1" x14ac:dyDescent="0.2">
      <c r="F411" s="31"/>
      <c r="G411" s="31"/>
      <c r="H411" s="31"/>
    </row>
    <row r="412" spans="6:8" ht="12.75" customHeight="1" x14ac:dyDescent="0.2">
      <c r="F412" s="31"/>
      <c r="G412" s="31"/>
      <c r="H412" s="31"/>
    </row>
    <row r="413" spans="6:8" ht="12.75" customHeight="1" x14ac:dyDescent="0.2">
      <c r="F413" s="31"/>
      <c r="G413" s="31"/>
      <c r="H413" s="31"/>
    </row>
    <row r="414" spans="6:8" ht="12.75" customHeight="1" x14ac:dyDescent="0.2">
      <c r="F414" s="31"/>
      <c r="G414" s="31"/>
      <c r="H414" s="31"/>
    </row>
    <row r="415" spans="6:8" ht="12.75" customHeight="1" x14ac:dyDescent="0.2">
      <c r="F415" s="31"/>
      <c r="G415" s="31"/>
      <c r="H415" s="31"/>
    </row>
    <row r="416" spans="6:8" ht="12.75" customHeight="1" x14ac:dyDescent="0.2">
      <c r="F416" s="31"/>
      <c r="G416" s="31"/>
      <c r="H416" s="31"/>
    </row>
    <row r="417" spans="6:8" ht="12.75" customHeight="1" x14ac:dyDescent="0.2">
      <c r="F417" s="31"/>
      <c r="G417" s="31"/>
      <c r="H417" s="31"/>
    </row>
    <row r="418" spans="6:8" ht="12.75" customHeight="1" x14ac:dyDescent="0.2">
      <c r="F418" s="31"/>
      <c r="G418" s="31"/>
      <c r="H418" s="31"/>
    </row>
    <row r="419" spans="6:8" ht="12.75" customHeight="1" x14ac:dyDescent="0.2">
      <c r="F419" s="31"/>
      <c r="G419" s="31"/>
      <c r="H419" s="31"/>
    </row>
    <row r="420" spans="6:8" ht="12.75" customHeight="1" x14ac:dyDescent="0.2">
      <c r="F420" s="31"/>
      <c r="G420" s="31"/>
      <c r="H420" s="31"/>
    </row>
    <row r="421" spans="6:8" ht="12.75" customHeight="1" x14ac:dyDescent="0.2">
      <c r="F421" s="31"/>
      <c r="G421" s="31"/>
      <c r="H421" s="31"/>
    </row>
    <row r="422" spans="6:8" ht="12.75" customHeight="1" x14ac:dyDescent="0.2">
      <c r="F422" s="31"/>
      <c r="G422" s="31"/>
      <c r="H422" s="31"/>
    </row>
    <row r="423" spans="6:8" ht="12.75" customHeight="1" x14ac:dyDescent="0.2">
      <c r="F423" s="31"/>
      <c r="G423" s="31"/>
      <c r="H423" s="31"/>
    </row>
    <row r="424" spans="6:8" ht="12.75" customHeight="1" x14ac:dyDescent="0.2">
      <c r="F424" s="31"/>
      <c r="G424" s="31"/>
      <c r="H424" s="31"/>
    </row>
    <row r="425" spans="6:8" ht="12.75" customHeight="1" x14ac:dyDescent="0.2">
      <c r="F425" s="31"/>
      <c r="G425" s="31"/>
      <c r="H425" s="31"/>
    </row>
    <row r="426" spans="6:8" ht="12.75" customHeight="1" x14ac:dyDescent="0.2">
      <c r="F426" s="31"/>
      <c r="G426" s="31"/>
      <c r="H426" s="31"/>
    </row>
    <row r="427" spans="6:8" ht="12.75" customHeight="1" x14ac:dyDescent="0.2">
      <c r="F427" s="31"/>
      <c r="G427" s="31"/>
      <c r="H427" s="31"/>
    </row>
    <row r="428" spans="6:8" ht="12.75" customHeight="1" x14ac:dyDescent="0.2">
      <c r="F428" s="31"/>
      <c r="G428" s="31"/>
      <c r="H428" s="31"/>
    </row>
    <row r="429" spans="6:8" ht="12.75" customHeight="1" x14ac:dyDescent="0.2">
      <c r="F429" s="31"/>
      <c r="G429" s="31"/>
      <c r="H429" s="31"/>
    </row>
    <row r="430" spans="6:8" ht="12.75" customHeight="1" x14ac:dyDescent="0.2">
      <c r="F430" s="31"/>
      <c r="G430" s="31"/>
      <c r="H430" s="31"/>
    </row>
    <row r="431" spans="6:8" ht="12.75" customHeight="1" x14ac:dyDescent="0.2">
      <c r="F431" s="31"/>
      <c r="G431" s="31"/>
      <c r="H431" s="31"/>
    </row>
    <row r="432" spans="6:8" ht="12.75" customHeight="1" x14ac:dyDescent="0.2">
      <c r="F432" s="31"/>
      <c r="G432" s="31"/>
      <c r="H432" s="31"/>
    </row>
    <row r="433" spans="6:8" ht="12.75" customHeight="1" x14ac:dyDescent="0.2">
      <c r="F433" s="31"/>
      <c r="G433" s="31"/>
      <c r="H433" s="31"/>
    </row>
    <row r="434" spans="6:8" ht="12.75" customHeight="1" x14ac:dyDescent="0.2">
      <c r="F434" s="31"/>
      <c r="G434" s="31"/>
      <c r="H434" s="31"/>
    </row>
    <row r="435" spans="6:8" ht="12.75" customHeight="1" x14ac:dyDescent="0.2">
      <c r="F435" s="31"/>
      <c r="G435" s="31"/>
      <c r="H435" s="31"/>
    </row>
    <row r="436" spans="6:8" ht="12.75" customHeight="1" x14ac:dyDescent="0.2">
      <c r="F436" s="31"/>
      <c r="G436" s="31"/>
      <c r="H436" s="31"/>
    </row>
    <row r="437" spans="6:8" ht="12.75" customHeight="1" x14ac:dyDescent="0.2">
      <c r="F437" s="31"/>
      <c r="G437" s="31"/>
      <c r="H437" s="31"/>
    </row>
    <row r="438" spans="6:8" ht="12.75" customHeight="1" x14ac:dyDescent="0.2">
      <c r="F438" s="31"/>
      <c r="G438" s="31"/>
      <c r="H438" s="31"/>
    </row>
    <row r="439" spans="6:8" ht="12.75" customHeight="1" x14ac:dyDescent="0.2">
      <c r="F439" s="31"/>
      <c r="G439" s="31"/>
      <c r="H439" s="31"/>
    </row>
    <row r="440" spans="6:8" ht="12.75" customHeight="1" x14ac:dyDescent="0.2">
      <c r="F440" s="31"/>
      <c r="G440" s="31"/>
      <c r="H440" s="31"/>
    </row>
    <row r="441" spans="6:8" ht="12.75" customHeight="1" x14ac:dyDescent="0.2">
      <c r="F441" s="31"/>
      <c r="G441" s="31"/>
      <c r="H441" s="31"/>
    </row>
    <row r="442" spans="6:8" ht="12.75" customHeight="1" x14ac:dyDescent="0.2">
      <c r="F442" s="31"/>
      <c r="G442" s="31"/>
      <c r="H442" s="31"/>
    </row>
    <row r="443" spans="6:8" ht="12.75" customHeight="1" x14ac:dyDescent="0.2">
      <c r="F443" s="31"/>
      <c r="G443" s="31"/>
      <c r="H443" s="31"/>
    </row>
    <row r="444" spans="6:8" ht="12.75" customHeight="1" x14ac:dyDescent="0.2">
      <c r="F444" s="31"/>
      <c r="G444" s="31"/>
      <c r="H444" s="31"/>
    </row>
    <row r="445" spans="6:8" ht="12.75" customHeight="1" x14ac:dyDescent="0.2">
      <c r="F445" s="31"/>
      <c r="G445" s="31"/>
      <c r="H445" s="31"/>
    </row>
    <row r="446" spans="6:8" ht="12.75" customHeight="1" x14ac:dyDescent="0.2">
      <c r="F446" s="31"/>
      <c r="G446" s="31"/>
      <c r="H446" s="31"/>
    </row>
    <row r="447" spans="6:8" ht="12.75" customHeight="1" x14ac:dyDescent="0.2">
      <c r="F447" s="31"/>
      <c r="G447" s="31"/>
      <c r="H447" s="31"/>
    </row>
    <row r="448" spans="6:8" ht="12.75" customHeight="1" x14ac:dyDescent="0.2">
      <c r="F448" s="31"/>
      <c r="G448" s="31"/>
      <c r="H448" s="31"/>
    </row>
    <row r="449" spans="6:8" ht="12.75" customHeight="1" x14ac:dyDescent="0.2">
      <c r="F449" s="31"/>
      <c r="G449" s="31"/>
      <c r="H449" s="31"/>
    </row>
    <row r="450" spans="6:8" ht="12.75" customHeight="1" x14ac:dyDescent="0.2">
      <c r="F450" s="31"/>
      <c r="G450" s="31"/>
      <c r="H450" s="31"/>
    </row>
    <row r="451" spans="6:8" ht="12.75" customHeight="1" x14ac:dyDescent="0.2">
      <c r="F451" s="31"/>
      <c r="G451" s="31"/>
      <c r="H451" s="31"/>
    </row>
    <row r="452" spans="6:8" ht="12.75" customHeight="1" x14ac:dyDescent="0.2">
      <c r="F452" s="31"/>
      <c r="G452" s="31"/>
      <c r="H452" s="31"/>
    </row>
    <row r="453" spans="6:8" ht="12.75" customHeight="1" x14ac:dyDescent="0.2">
      <c r="F453" s="31"/>
      <c r="G453" s="31"/>
      <c r="H453" s="31"/>
    </row>
    <row r="454" spans="6:8" ht="12.75" customHeight="1" x14ac:dyDescent="0.2">
      <c r="F454" s="31"/>
      <c r="G454" s="31"/>
      <c r="H454" s="31"/>
    </row>
    <row r="455" spans="6:8" ht="12.75" customHeight="1" x14ac:dyDescent="0.2">
      <c r="F455" s="31"/>
      <c r="G455" s="31"/>
      <c r="H455" s="31"/>
    </row>
    <row r="456" spans="6:8" ht="12.75" customHeight="1" x14ac:dyDescent="0.2">
      <c r="F456" s="31"/>
      <c r="G456" s="31"/>
      <c r="H456" s="31"/>
    </row>
    <row r="457" spans="6:8" ht="12.75" customHeight="1" x14ac:dyDescent="0.2">
      <c r="F457" s="31"/>
      <c r="G457" s="31"/>
      <c r="H457" s="31"/>
    </row>
    <row r="458" spans="6:8" ht="12.75" customHeight="1" x14ac:dyDescent="0.2">
      <c r="F458" s="31"/>
      <c r="G458" s="31"/>
      <c r="H458" s="31"/>
    </row>
    <row r="459" spans="6:8" ht="12.75" customHeight="1" x14ac:dyDescent="0.2">
      <c r="F459" s="31"/>
      <c r="G459" s="31"/>
      <c r="H459" s="31"/>
    </row>
    <row r="460" spans="6:8" ht="12.75" customHeight="1" x14ac:dyDescent="0.2">
      <c r="F460" s="31"/>
      <c r="G460" s="31"/>
      <c r="H460" s="31"/>
    </row>
    <row r="461" spans="6:8" ht="12.75" customHeight="1" x14ac:dyDescent="0.2">
      <c r="F461" s="31"/>
      <c r="G461" s="31"/>
      <c r="H461" s="31"/>
    </row>
    <row r="462" spans="6:8" ht="12.75" customHeight="1" x14ac:dyDescent="0.2">
      <c r="F462" s="31"/>
      <c r="G462" s="31"/>
      <c r="H462" s="31"/>
    </row>
    <row r="463" spans="6:8" ht="12.75" customHeight="1" x14ac:dyDescent="0.2">
      <c r="F463" s="31"/>
      <c r="G463" s="31"/>
      <c r="H463" s="31"/>
    </row>
    <row r="464" spans="6:8" ht="12.75" customHeight="1" x14ac:dyDescent="0.2">
      <c r="F464" s="31"/>
      <c r="G464" s="31"/>
      <c r="H464" s="31"/>
    </row>
    <row r="465" spans="6:8" ht="12.75" customHeight="1" x14ac:dyDescent="0.2">
      <c r="F465" s="31"/>
      <c r="G465" s="31"/>
      <c r="H465" s="31"/>
    </row>
    <row r="466" spans="6:8" ht="12.75" customHeight="1" x14ac:dyDescent="0.2">
      <c r="F466" s="31"/>
      <c r="G466" s="31"/>
      <c r="H466" s="31"/>
    </row>
    <row r="467" spans="6:8" ht="12.75" customHeight="1" x14ac:dyDescent="0.2">
      <c r="F467" s="31"/>
      <c r="G467" s="31"/>
      <c r="H467" s="31"/>
    </row>
    <row r="468" spans="6:8" ht="12.75" customHeight="1" x14ac:dyDescent="0.2">
      <c r="F468" s="31"/>
      <c r="G468" s="31"/>
      <c r="H468" s="31"/>
    </row>
    <row r="469" spans="6:8" ht="12.75" customHeight="1" x14ac:dyDescent="0.2">
      <c r="F469" s="31"/>
      <c r="G469" s="31"/>
      <c r="H469" s="31"/>
    </row>
    <row r="470" spans="6:8" ht="12.75" customHeight="1" x14ac:dyDescent="0.2">
      <c r="F470" s="31"/>
      <c r="G470" s="31"/>
      <c r="H470" s="31"/>
    </row>
    <row r="471" spans="6:8" ht="12.75" customHeight="1" x14ac:dyDescent="0.2">
      <c r="F471" s="31"/>
      <c r="G471" s="31"/>
      <c r="H471" s="31"/>
    </row>
    <row r="472" spans="6:8" ht="12.75" customHeight="1" x14ac:dyDescent="0.2">
      <c r="F472" s="31"/>
      <c r="G472" s="31"/>
      <c r="H472" s="31"/>
    </row>
    <row r="473" spans="6:8" ht="12.75" customHeight="1" x14ac:dyDescent="0.2">
      <c r="F473" s="31"/>
      <c r="G473" s="31"/>
      <c r="H473" s="31"/>
    </row>
    <row r="474" spans="6:8" ht="12.75" customHeight="1" x14ac:dyDescent="0.2">
      <c r="F474" s="31"/>
      <c r="G474" s="31"/>
      <c r="H474" s="31"/>
    </row>
    <row r="475" spans="6:8" ht="12.75" customHeight="1" x14ac:dyDescent="0.2">
      <c r="F475" s="31"/>
      <c r="G475" s="31"/>
      <c r="H475" s="31"/>
    </row>
    <row r="476" spans="6:8" ht="12.75" customHeight="1" x14ac:dyDescent="0.2">
      <c r="F476" s="31"/>
      <c r="G476" s="31"/>
      <c r="H476" s="31"/>
    </row>
    <row r="477" spans="6:8" ht="12.75" customHeight="1" x14ac:dyDescent="0.2">
      <c r="F477" s="31"/>
      <c r="G477" s="31"/>
      <c r="H477" s="31"/>
    </row>
    <row r="478" spans="6:8" ht="12.75" customHeight="1" x14ac:dyDescent="0.2">
      <c r="F478" s="31"/>
      <c r="G478" s="31"/>
      <c r="H478" s="31"/>
    </row>
    <row r="479" spans="6:8" ht="12.75" customHeight="1" x14ac:dyDescent="0.2">
      <c r="F479" s="31"/>
      <c r="G479" s="31"/>
      <c r="H479" s="31"/>
    </row>
    <row r="480" spans="6:8" ht="12.75" customHeight="1" x14ac:dyDescent="0.2">
      <c r="F480" s="31"/>
      <c r="G480" s="31"/>
      <c r="H480" s="31"/>
    </row>
    <row r="481" spans="6:8" ht="12.75" customHeight="1" x14ac:dyDescent="0.2">
      <c r="F481" s="31"/>
      <c r="G481" s="31"/>
      <c r="H481" s="31"/>
    </row>
    <row r="482" spans="6:8" ht="12.75" customHeight="1" x14ac:dyDescent="0.2">
      <c r="F482" s="31"/>
      <c r="G482" s="31"/>
      <c r="H482" s="31"/>
    </row>
    <row r="483" spans="6:8" ht="12.75" customHeight="1" x14ac:dyDescent="0.2">
      <c r="F483" s="31"/>
      <c r="G483" s="31"/>
      <c r="H483" s="31"/>
    </row>
    <row r="484" spans="6:8" ht="12.75" customHeight="1" x14ac:dyDescent="0.2">
      <c r="F484" s="31"/>
      <c r="G484" s="31"/>
      <c r="H484" s="31"/>
    </row>
    <row r="485" spans="6:8" ht="12.75" customHeight="1" x14ac:dyDescent="0.2">
      <c r="F485" s="31"/>
      <c r="G485" s="31"/>
      <c r="H485" s="31"/>
    </row>
    <row r="486" spans="6:8" ht="12.75" customHeight="1" x14ac:dyDescent="0.2">
      <c r="F486" s="31"/>
      <c r="G486" s="31"/>
      <c r="H486" s="31"/>
    </row>
    <row r="487" spans="6:8" ht="12.75" customHeight="1" x14ac:dyDescent="0.2">
      <c r="F487" s="31"/>
      <c r="G487" s="31"/>
      <c r="H487" s="31"/>
    </row>
    <row r="488" spans="6:8" ht="12.75" customHeight="1" x14ac:dyDescent="0.2">
      <c r="F488" s="31"/>
      <c r="G488" s="31"/>
      <c r="H488" s="31"/>
    </row>
    <row r="489" spans="6:8" ht="12.75" customHeight="1" x14ac:dyDescent="0.2">
      <c r="F489" s="31"/>
      <c r="G489" s="31"/>
      <c r="H489" s="31"/>
    </row>
    <row r="490" spans="6:8" ht="12.75" customHeight="1" x14ac:dyDescent="0.2">
      <c r="F490" s="31"/>
      <c r="G490" s="31"/>
      <c r="H490" s="31"/>
    </row>
    <row r="491" spans="6:8" ht="12.75" customHeight="1" x14ac:dyDescent="0.2">
      <c r="F491" s="31"/>
      <c r="G491" s="31"/>
      <c r="H491" s="31"/>
    </row>
    <row r="492" spans="6:8" ht="12.75" customHeight="1" x14ac:dyDescent="0.2">
      <c r="F492" s="31"/>
      <c r="G492" s="31"/>
      <c r="H492" s="31"/>
    </row>
    <row r="493" spans="6:8" ht="12.75" customHeight="1" x14ac:dyDescent="0.2">
      <c r="F493" s="31"/>
      <c r="G493" s="31"/>
      <c r="H493" s="31"/>
    </row>
    <row r="494" spans="6:8" ht="12.75" customHeight="1" x14ac:dyDescent="0.2">
      <c r="F494" s="31"/>
      <c r="G494" s="31"/>
      <c r="H494" s="31"/>
    </row>
    <row r="495" spans="6:8" ht="12.75" customHeight="1" x14ac:dyDescent="0.2">
      <c r="F495" s="31"/>
      <c r="G495" s="31"/>
      <c r="H495" s="31"/>
    </row>
    <row r="496" spans="6:8" ht="12.75" customHeight="1" x14ac:dyDescent="0.2">
      <c r="F496" s="31"/>
      <c r="G496" s="31"/>
      <c r="H496" s="31"/>
    </row>
    <row r="497" spans="6:8" ht="12.75" customHeight="1" x14ac:dyDescent="0.2">
      <c r="F497" s="31"/>
      <c r="G497" s="31"/>
      <c r="H497" s="31"/>
    </row>
    <row r="498" spans="6:8" ht="12.75" customHeight="1" x14ac:dyDescent="0.2">
      <c r="F498" s="31"/>
      <c r="G498" s="31"/>
      <c r="H498" s="31"/>
    </row>
    <row r="499" spans="6:8" ht="12.75" customHeight="1" x14ac:dyDescent="0.2">
      <c r="F499" s="31"/>
      <c r="G499" s="31"/>
      <c r="H499" s="31"/>
    </row>
    <row r="500" spans="6:8" ht="12.75" customHeight="1" x14ac:dyDescent="0.2">
      <c r="F500" s="31"/>
      <c r="G500" s="31"/>
      <c r="H500" s="31"/>
    </row>
    <row r="501" spans="6:8" ht="12.75" customHeight="1" x14ac:dyDescent="0.2">
      <c r="F501" s="31"/>
      <c r="G501" s="31"/>
      <c r="H501" s="31"/>
    </row>
    <row r="502" spans="6:8" ht="12.75" customHeight="1" x14ac:dyDescent="0.2">
      <c r="F502" s="31"/>
      <c r="G502" s="31"/>
      <c r="H502" s="31"/>
    </row>
    <row r="503" spans="6:8" ht="12.75" customHeight="1" x14ac:dyDescent="0.2">
      <c r="F503" s="31"/>
      <c r="G503" s="31"/>
      <c r="H503" s="31"/>
    </row>
    <row r="504" spans="6:8" ht="12.75" customHeight="1" x14ac:dyDescent="0.2">
      <c r="F504" s="31"/>
      <c r="G504" s="31"/>
      <c r="H504" s="31"/>
    </row>
    <row r="505" spans="6:8" ht="12.75" customHeight="1" x14ac:dyDescent="0.2">
      <c r="F505" s="31"/>
      <c r="G505" s="31"/>
      <c r="H505" s="31"/>
    </row>
    <row r="506" spans="6:8" ht="12.75" customHeight="1" x14ac:dyDescent="0.2">
      <c r="F506" s="31"/>
      <c r="G506" s="31"/>
      <c r="H506" s="31"/>
    </row>
    <row r="507" spans="6:8" ht="12.75" customHeight="1" x14ac:dyDescent="0.2">
      <c r="F507" s="31"/>
      <c r="G507" s="31"/>
      <c r="H507" s="31"/>
    </row>
    <row r="508" spans="6:8" ht="12.75" customHeight="1" x14ac:dyDescent="0.2">
      <c r="F508" s="31"/>
      <c r="G508" s="31"/>
      <c r="H508" s="31"/>
    </row>
    <row r="509" spans="6:8" ht="12.75" customHeight="1" x14ac:dyDescent="0.2">
      <c r="F509" s="31"/>
      <c r="G509" s="31"/>
      <c r="H509" s="31"/>
    </row>
    <row r="510" spans="6:8" ht="12.75" customHeight="1" x14ac:dyDescent="0.2">
      <c r="F510" s="31"/>
      <c r="G510" s="31"/>
      <c r="H510" s="31"/>
    </row>
    <row r="511" spans="6:8" ht="12.75" customHeight="1" x14ac:dyDescent="0.2">
      <c r="F511" s="31"/>
      <c r="G511" s="31"/>
      <c r="H511" s="31"/>
    </row>
    <row r="512" spans="6:8" ht="12.75" customHeight="1" x14ac:dyDescent="0.2">
      <c r="F512" s="31"/>
      <c r="G512" s="31"/>
      <c r="H512" s="31"/>
    </row>
    <row r="513" spans="6:8" ht="12.75" customHeight="1" x14ac:dyDescent="0.2">
      <c r="F513" s="31"/>
      <c r="G513" s="31"/>
      <c r="H513" s="31"/>
    </row>
    <row r="514" spans="6:8" ht="12.75" customHeight="1" x14ac:dyDescent="0.2">
      <c r="F514" s="31"/>
      <c r="G514" s="31"/>
      <c r="H514" s="31"/>
    </row>
    <row r="515" spans="6:8" ht="12.75" customHeight="1" x14ac:dyDescent="0.2">
      <c r="F515" s="31"/>
      <c r="G515" s="31"/>
      <c r="H515" s="31"/>
    </row>
    <row r="516" spans="6:8" ht="12.75" customHeight="1" x14ac:dyDescent="0.2">
      <c r="F516" s="31"/>
      <c r="G516" s="31"/>
      <c r="H516" s="31"/>
    </row>
    <row r="517" spans="6:8" ht="12.75" customHeight="1" x14ac:dyDescent="0.2">
      <c r="F517" s="31"/>
      <c r="G517" s="31"/>
      <c r="H517" s="31"/>
    </row>
    <row r="518" spans="6:8" ht="12.75" customHeight="1" x14ac:dyDescent="0.2">
      <c r="F518" s="31"/>
      <c r="G518" s="31"/>
      <c r="H518" s="31"/>
    </row>
    <row r="519" spans="6:8" ht="12.75" customHeight="1" x14ac:dyDescent="0.2">
      <c r="F519" s="31"/>
      <c r="G519" s="31"/>
      <c r="H519" s="31"/>
    </row>
    <row r="520" spans="6:8" ht="12.75" customHeight="1" x14ac:dyDescent="0.2">
      <c r="F520" s="31"/>
      <c r="G520" s="31"/>
      <c r="H520" s="31"/>
    </row>
    <row r="521" spans="6:8" ht="12.75" customHeight="1" x14ac:dyDescent="0.2">
      <c r="F521" s="31"/>
      <c r="G521" s="31"/>
      <c r="H521" s="31"/>
    </row>
    <row r="522" spans="6:8" ht="12.75" customHeight="1" x14ac:dyDescent="0.2">
      <c r="F522" s="31"/>
      <c r="G522" s="31"/>
      <c r="H522" s="31"/>
    </row>
    <row r="523" spans="6:8" ht="12.75" customHeight="1" x14ac:dyDescent="0.2">
      <c r="F523" s="31"/>
      <c r="G523" s="31"/>
      <c r="H523" s="31"/>
    </row>
    <row r="524" spans="6:8" ht="12.75" customHeight="1" x14ac:dyDescent="0.2">
      <c r="F524" s="31"/>
      <c r="G524" s="31"/>
      <c r="H524" s="31"/>
    </row>
    <row r="525" spans="6:8" ht="12.75" customHeight="1" x14ac:dyDescent="0.2">
      <c r="F525" s="31"/>
      <c r="G525" s="31"/>
      <c r="H525" s="31"/>
    </row>
    <row r="526" spans="6:8" ht="12.75" customHeight="1" x14ac:dyDescent="0.2">
      <c r="F526" s="31"/>
      <c r="G526" s="31"/>
      <c r="H526" s="31"/>
    </row>
    <row r="527" spans="6:8" ht="12.75" customHeight="1" x14ac:dyDescent="0.2">
      <c r="F527" s="31"/>
      <c r="G527" s="31"/>
      <c r="H527" s="31"/>
    </row>
    <row r="528" spans="6:8" ht="12.75" customHeight="1" x14ac:dyDescent="0.2">
      <c r="F528" s="31"/>
      <c r="G528" s="31"/>
      <c r="H528" s="31"/>
    </row>
    <row r="529" spans="6:8" ht="12.75" customHeight="1" x14ac:dyDescent="0.2">
      <c r="F529" s="31"/>
      <c r="G529" s="31"/>
      <c r="H529" s="31"/>
    </row>
    <row r="530" spans="6:8" ht="12.75" customHeight="1" x14ac:dyDescent="0.2">
      <c r="F530" s="31"/>
      <c r="G530" s="31"/>
      <c r="H530" s="31"/>
    </row>
    <row r="531" spans="6:8" ht="12.75" customHeight="1" x14ac:dyDescent="0.2">
      <c r="F531" s="31"/>
      <c r="G531" s="31"/>
      <c r="H531" s="31"/>
    </row>
    <row r="532" spans="6:8" ht="12.75" customHeight="1" x14ac:dyDescent="0.2">
      <c r="F532" s="31"/>
      <c r="G532" s="31"/>
      <c r="H532" s="31"/>
    </row>
    <row r="533" spans="6:8" ht="12.75" customHeight="1" x14ac:dyDescent="0.2">
      <c r="F533" s="31"/>
      <c r="G533" s="31"/>
      <c r="H533" s="31"/>
    </row>
    <row r="534" spans="6:8" ht="12.75" customHeight="1" x14ac:dyDescent="0.2">
      <c r="F534" s="31"/>
      <c r="G534" s="31"/>
      <c r="H534" s="31"/>
    </row>
    <row r="535" spans="6:8" ht="12.75" customHeight="1" x14ac:dyDescent="0.2">
      <c r="F535" s="31"/>
      <c r="G535" s="31"/>
      <c r="H535" s="31"/>
    </row>
    <row r="536" spans="6:8" ht="12.75" customHeight="1" x14ac:dyDescent="0.2">
      <c r="F536" s="31"/>
      <c r="G536" s="31"/>
      <c r="H536" s="31"/>
    </row>
    <row r="537" spans="6:8" ht="12.75" customHeight="1" x14ac:dyDescent="0.2">
      <c r="F537" s="31"/>
      <c r="G537" s="31"/>
      <c r="H537" s="31"/>
    </row>
    <row r="538" spans="6:8" ht="12.75" customHeight="1" x14ac:dyDescent="0.2">
      <c r="F538" s="31"/>
      <c r="G538" s="31"/>
      <c r="H538" s="31"/>
    </row>
    <row r="539" spans="6:8" ht="12.75" customHeight="1" x14ac:dyDescent="0.2">
      <c r="F539" s="31"/>
      <c r="G539" s="31"/>
      <c r="H539" s="31"/>
    </row>
    <row r="540" spans="6:8" ht="12.75" customHeight="1" x14ac:dyDescent="0.2">
      <c r="F540" s="31"/>
      <c r="G540" s="31"/>
      <c r="H540" s="31"/>
    </row>
    <row r="541" spans="6:8" ht="12.75" customHeight="1" x14ac:dyDescent="0.2">
      <c r="F541" s="31"/>
      <c r="G541" s="31"/>
      <c r="H541" s="31"/>
    </row>
    <row r="542" spans="6:8" ht="12.75" customHeight="1" x14ac:dyDescent="0.2">
      <c r="F542" s="31"/>
      <c r="G542" s="31"/>
      <c r="H542" s="31"/>
    </row>
    <row r="543" spans="6:8" ht="12.75" customHeight="1" x14ac:dyDescent="0.2">
      <c r="F543" s="31"/>
      <c r="G543" s="31"/>
      <c r="H543" s="31"/>
    </row>
    <row r="544" spans="6:8" ht="12.75" customHeight="1" x14ac:dyDescent="0.2">
      <c r="F544" s="31"/>
      <c r="G544" s="31"/>
      <c r="H544" s="31"/>
    </row>
    <row r="545" spans="6:8" ht="12.75" customHeight="1" x14ac:dyDescent="0.2">
      <c r="F545" s="31"/>
      <c r="G545" s="31"/>
      <c r="H545" s="31"/>
    </row>
    <row r="546" spans="6:8" ht="12.75" customHeight="1" x14ac:dyDescent="0.2">
      <c r="F546" s="31"/>
      <c r="G546" s="31"/>
      <c r="H546" s="31"/>
    </row>
    <row r="547" spans="6:8" ht="12.75" customHeight="1" x14ac:dyDescent="0.2">
      <c r="F547" s="31"/>
      <c r="G547" s="31"/>
      <c r="H547" s="31"/>
    </row>
    <row r="548" spans="6:8" ht="12.75" customHeight="1" x14ac:dyDescent="0.2">
      <c r="F548" s="31"/>
      <c r="G548" s="31"/>
      <c r="H548" s="31"/>
    </row>
    <row r="549" spans="6:8" ht="12.75" customHeight="1" x14ac:dyDescent="0.2">
      <c r="F549" s="31"/>
      <c r="G549" s="31"/>
      <c r="H549" s="31"/>
    </row>
    <row r="550" spans="6:8" ht="12.75" customHeight="1" x14ac:dyDescent="0.2">
      <c r="F550" s="31"/>
      <c r="G550" s="31"/>
      <c r="H550" s="31"/>
    </row>
    <row r="551" spans="6:8" ht="12.75" customHeight="1" x14ac:dyDescent="0.2">
      <c r="F551" s="31"/>
      <c r="G551" s="31"/>
      <c r="H551" s="31"/>
    </row>
    <row r="552" spans="6:8" ht="12.75" customHeight="1" x14ac:dyDescent="0.2">
      <c r="F552" s="31"/>
      <c r="G552" s="31"/>
      <c r="H552" s="31"/>
    </row>
    <row r="553" spans="6:8" ht="12.75" customHeight="1" x14ac:dyDescent="0.2">
      <c r="F553" s="31"/>
      <c r="G553" s="31"/>
      <c r="H553" s="31"/>
    </row>
    <row r="554" spans="6:8" ht="12.75" customHeight="1" x14ac:dyDescent="0.2">
      <c r="F554" s="31"/>
      <c r="G554" s="31"/>
      <c r="H554" s="31"/>
    </row>
    <row r="555" spans="6:8" ht="12.75" customHeight="1" x14ac:dyDescent="0.2">
      <c r="F555" s="31"/>
      <c r="G555" s="31"/>
      <c r="H555" s="31"/>
    </row>
    <row r="556" spans="6:8" ht="12.75" customHeight="1" x14ac:dyDescent="0.2">
      <c r="F556" s="31"/>
      <c r="G556" s="31"/>
      <c r="H556" s="31"/>
    </row>
    <row r="557" spans="6:8" ht="12.75" customHeight="1" x14ac:dyDescent="0.2">
      <c r="F557" s="31"/>
      <c r="G557" s="31"/>
      <c r="H557" s="31"/>
    </row>
    <row r="558" spans="6:8" ht="12.75" customHeight="1" x14ac:dyDescent="0.2">
      <c r="F558" s="31"/>
      <c r="G558" s="31"/>
      <c r="H558" s="31"/>
    </row>
    <row r="559" spans="6:8" ht="12.75" customHeight="1" x14ac:dyDescent="0.2">
      <c r="F559" s="31"/>
      <c r="G559" s="31"/>
      <c r="H559" s="31"/>
    </row>
    <row r="560" spans="6:8" ht="12.75" customHeight="1" x14ac:dyDescent="0.2">
      <c r="F560" s="31"/>
      <c r="G560" s="31"/>
      <c r="H560" s="31"/>
    </row>
    <row r="561" spans="6:8" ht="12.75" customHeight="1" x14ac:dyDescent="0.2">
      <c r="F561" s="31"/>
      <c r="G561" s="31"/>
      <c r="H561" s="31"/>
    </row>
    <row r="562" spans="6:8" ht="12.75" customHeight="1" x14ac:dyDescent="0.2">
      <c r="F562" s="31"/>
      <c r="G562" s="31"/>
      <c r="H562" s="31"/>
    </row>
    <row r="563" spans="6:8" ht="12.75" customHeight="1" x14ac:dyDescent="0.2">
      <c r="F563" s="31"/>
      <c r="G563" s="31"/>
      <c r="H563" s="31"/>
    </row>
    <row r="564" spans="6:8" ht="12.75" customHeight="1" x14ac:dyDescent="0.2">
      <c r="F564" s="31"/>
      <c r="G564" s="31"/>
      <c r="H564" s="31"/>
    </row>
    <row r="565" spans="6:8" ht="12.75" customHeight="1" x14ac:dyDescent="0.2">
      <c r="F565" s="31"/>
      <c r="G565" s="31"/>
      <c r="H565" s="31"/>
    </row>
    <row r="566" spans="6:8" ht="12.75" customHeight="1" x14ac:dyDescent="0.2">
      <c r="F566" s="31"/>
      <c r="G566" s="31"/>
      <c r="H566" s="31"/>
    </row>
    <row r="567" spans="6:8" ht="12.75" customHeight="1" x14ac:dyDescent="0.2">
      <c r="F567" s="31"/>
      <c r="G567" s="31"/>
      <c r="H567" s="31"/>
    </row>
    <row r="568" spans="6:8" ht="12.75" customHeight="1" x14ac:dyDescent="0.2">
      <c r="F568" s="31"/>
      <c r="G568" s="31"/>
      <c r="H568" s="31"/>
    </row>
    <row r="569" spans="6:8" ht="12.75" customHeight="1" x14ac:dyDescent="0.2">
      <c r="F569" s="31"/>
      <c r="G569" s="31"/>
      <c r="H569" s="31"/>
    </row>
    <row r="570" spans="6:8" ht="12.75" customHeight="1" x14ac:dyDescent="0.2">
      <c r="F570" s="31"/>
      <c r="G570" s="31"/>
      <c r="H570" s="31"/>
    </row>
    <row r="571" spans="6:8" ht="12.75" customHeight="1" x14ac:dyDescent="0.2">
      <c r="F571" s="31"/>
      <c r="G571" s="31"/>
      <c r="H571" s="31"/>
    </row>
    <row r="572" spans="6:8" ht="12.75" customHeight="1" x14ac:dyDescent="0.2">
      <c r="F572" s="31"/>
      <c r="G572" s="31"/>
      <c r="H572" s="31"/>
    </row>
    <row r="573" spans="6:8" ht="12.75" customHeight="1" x14ac:dyDescent="0.2">
      <c r="F573" s="31"/>
      <c r="G573" s="31"/>
      <c r="H573" s="31"/>
    </row>
    <row r="574" spans="6:8" ht="12.75" customHeight="1" x14ac:dyDescent="0.2">
      <c r="F574" s="31"/>
      <c r="G574" s="31"/>
      <c r="H574" s="31"/>
    </row>
    <row r="575" spans="6:8" ht="12.75" customHeight="1" x14ac:dyDescent="0.2">
      <c r="F575" s="31"/>
      <c r="G575" s="31"/>
      <c r="H575" s="31"/>
    </row>
    <row r="576" spans="6:8" ht="12.75" customHeight="1" x14ac:dyDescent="0.2">
      <c r="F576" s="31"/>
      <c r="G576" s="31"/>
      <c r="H576" s="31"/>
    </row>
    <row r="577" spans="6:8" ht="12.75" customHeight="1" x14ac:dyDescent="0.2">
      <c r="F577" s="31"/>
      <c r="G577" s="31"/>
      <c r="H577" s="31"/>
    </row>
    <row r="578" spans="6:8" ht="12.75" customHeight="1" x14ac:dyDescent="0.2">
      <c r="F578" s="31"/>
      <c r="G578" s="31"/>
      <c r="H578" s="31"/>
    </row>
    <row r="579" spans="6:8" ht="12.75" customHeight="1" x14ac:dyDescent="0.2">
      <c r="F579" s="31"/>
      <c r="G579" s="31"/>
      <c r="H579" s="31"/>
    </row>
    <row r="580" spans="6:8" ht="12.75" customHeight="1" x14ac:dyDescent="0.2">
      <c r="F580" s="31"/>
      <c r="G580" s="31"/>
      <c r="H580" s="31"/>
    </row>
    <row r="581" spans="6:8" ht="12.75" customHeight="1" x14ac:dyDescent="0.2">
      <c r="F581" s="31"/>
      <c r="G581" s="31"/>
      <c r="H581" s="31"/>
    </row>
    <row r="582" spans="6:8" ht="12.75" customHeight="1" x14ac:dyDescent="0.2">
      <c r="F582" s="31"/>
      <c r="G582" s="31"/>
      <c r="H582" s="31"/>
    </row>
    <row r="583" spans="6:8" ht="12.75" customHeight="1" x14ac:dyDescent="0.2">
      <c r="F583" s="31"/>
      <c r="G583" s="31"/>
      <c r="H583" s="31"/>
    </row>
    <row r="584" spans="6:8" ht="12.75" customHeight="1" x14ac:dyDescent="0.2">
      <c r="F584" s="31"/>
      <c r="G584" s="31"/>
      <c r="H584" s="31"/>
    </row>
    <row r="585" spans="6:8" ht="12.75" customHeight="1" x14ac:dyDescent="0.2">
      <c r="F585" s="31"/>
      <c r="G585" s="31"/>
      <c r="H585" s="31"/>
    </row>
    <row r="586" spans="6:8" ht="12.75" customHeight="1" x14ac:dyDescent="0.2">
      <c r="F586" s="31"/>
      <c r="G586" s="31"/>
      <c r="H586" s="31"/>
    </row>
    <row r="587" spans="6:8" ht="12.75" customHeight="1" x14ac:dyDescent="0.2">
      <c r="F587" s="31"/>
      <c r="G587" s="31"/>
      <c r="H587" s="31"/>
    </row>
    <row r="588" spans="6:8" ht="12.75" customHeight="1" x14ac:dyDescent="0.2">
      <c r="F588" s="31"/>
      <c r="G588" s="31"/>
      <c r="H588" s="31"/>
    </row>
    <row r="589" spans="6:8" ht="12.75" customHeight="1" x14ac:dyDescent="0.2">
      <c r="F589" s="31"/>
      <c r="G589" s="31"/>
      <c r="H589" s="31"/>
    </row>
    <row r="590" spans="6:8" ht="12.75" customHeight="1" x14ac:dyDescent="0.2">
      <c r="F590" s="31"/>
      <c r="G590" s="31"/>
      <c r="H590" s="31"/>
    </row>
    <row r="591" spans="6:8" ht="12.75" customHeight="1" x14ac:dyDescent="0.2">
      <c r="F591" s="31"/>
      <c r="G591" s="31"/>
      <c r="H591" s="31"/>
    </row>
    <row r="592" spans="6:8" ht="12.75" customHeight="1" x14ac:dyDescent="0.2">
      <c r="F592" s="31"/>
      <c r="G592" s="31"/>
      <c r="H592" s="31"/>
    </row>
    <row r="593" spans="6:8" ht="12.75" customHeight="1" x14ac:dyDescent="0.2">
      <c r="F593" s="31"/>
      <c r="G593" s="31"/>
      <c r="H593" s="31"/>
    </row>
    <row r="594" spans="6:8" ht="12.75" customHeight="1" x14ac:dyDescent="0.2">
      <c r="F594" s="31"/>
      <c r="G594" s="31"/>
      <c r="H594" s="31"/>
    </row>
    <row r="595" spans="6:8" ht="12.75" customHeight="1" x14ac:dyDescent="0.2">
      <c r="F595" s="31"/>
      <c r="G595" s="31"/>
      <c r="H595" s="31"/>
    </row>
    <row r="596" spans="6:8" ht="12.75" customHeight="1" x14ac:dyDescent="0.2">
      <c r="F596" s="31"/>
      <c r="G596" s="31"/>
      <c r="H596" s="31"/>
    </row>
    <row r="597" spans="6:8" ht="12.75" customHeight="1" x14ac:dyDescent="0.2">
      <c r="F597" s="31"/>
      <c r="G597" s="31"/>
      <c r="H597" s="31"/>
    </row>
    <row r="598" spans="6:8" ht="12.75" customHeight="1" x14ac:dyDescent="0.2">
      <c r="F598" s="31"/>
      <c r="G598" s="31"/>
      <c r="H598" s="31"/>
    </row>
    <row r="599" spans="6:8" ht="12.75" customHeight="1" x14ac:dyDescent="0.2">
      <c r="F599" s="31"/>
      <c r="G599" s="31"/>
      <c r="H599" s="31"/>
    </row>
    <row r="600" spans="6:8" ht="12.75" customHeight="1" x14ac:dyDescent="0.2">
      <c r="F600" s="31"/>
      <c r="G600" s="31"/>
      <c r="H600" s="31"/>
    </row>
    <row r="601" spans="6:8" ht="12.75" customHeight="1" x14ac:dyDescent="0.2">
      <c r="F601" s="31"/>
      <c r="G601" s="31"/>
      <c r="H601" s="31"/>
    </row>
    <row r="602" spans="6:8" ht="12.75" customHeight="1" x14ac:dyDescent="0.2">
      <c r="F602" s="31"/>
      <c r="G602" s="31"/>
      <c r="H602" s="31"/>
    </row>
    <row r="603" spans="6:8" ht="12.75" customHeight="1" x14ac:dyDescent="0.2">
      <c r="F603" s="31"/>
      <c r="G603" s="31"/>
      <c r="H603" s="31"/>
    </row>
    <row r="604" spans="6:8" ht="12.75" customHeight="1" x14ac:dyDescent="0.2">
      <c r="F604" s="31"/>
      <c r="G604" s="31"/>
      <c r="H604" s="31"/>
    </row>
    <row r="605" spans="6:8" ht="12.75" customHeight="1" x14ac:dyDescent="0.2">
      <c r="F605" s="31"/>
      <c r="G605" s="31"/>
      <c r="H605" s="31"/>
    </row>
    <row r="606" spans="6:8" ht="12.75" customHeight="1" x14ac:dyDescent="0.2">
      <c r="F606" s="31"/>
      <c r="G606" s="31"/>
      <c r="H606" s="31"/>
    </row>
    <row r="607" spans="6:8" ht="12.75" customHeight="1" x14ac:dyDescent="0.2">
      <c r="F607" s="31"/>
      <c r="G607" s="31"/>
      <c r="H607" s="31"/>
    </row>
    <row r="608" spans="6:8" ht="12.75" customHeight="1" x14ac:dyDescent="0.2">
      <c r="F608" s="31"/>
      <c r="G608" s="31"/>
      <c r="H608" s="31"/>
    </row>
    <row r="609" spans="6:8" ht="12.75" customHeight="1" x14ac:dyDescent="0.2">
      <c r="F609" s="31"/>
      <c r="G609" s="31"/>
      <c r="H609" s="31"/>
    </row>
    <row r="610" spans="6:8" ht="12.75" customHeight="1" x14ac:dyDescent="0.2">
      <c r="F610" s="31"/>
      <c r="G610" s="31"/>
      <c r="H610" s="31"/>
    </row>
    <row r="611" spans="6:8" ht="12.75" customHeight="1" x14ac:dyDescent="0.2">
      <c r="F611" s="31"/>
      <c r="G611" s="31"/>
      <c r="H611" s="31"/>
    </row>
    <row r="612" spans="6:8" ht="12.75" customHeight="1" x14ac:dyDescent="0.2">
      <c r="F612" s="31"/>
      <c r="G612" s="31"/>
      <c r="H612" s="31"/>
    </row>
    <row r="613" spans="6:8" ht="12.75" customHeight="1" x14ac:dyDescent="0.2">
      <c r="F613" s="31"/>
      <c r="G613" s="31"/>
      <c r="H613" s="31"/>
    </row>
    <row r="614" spans="6:8" ht="12.75" customHeight="1" x14ac:dyDescent="0.2">
      <c r="F614" s="31"/>
      <c r="G614" s="31"/>
      <c r="H614" s="31"/>
    </row>
    <row r="615" spans="6:8" ht="12.75" customHeight="1" x14ac:dyDescent="0.2">
      <c r="F615" s="31"/>
      <c r="G615" s="31"/>
      <c r="H615" s="31"/>
    </row>
    <row r="616" spans="6:8" ht="12.75" customHeight="1" x14ac:dyDescent="0.2">
      <c r="F616" s="31"/>
      <c r="G616" s="31"/>
      <c r="H616" s="31"/>
    </row>
    <row r="617" spans="6:8" ht="12.75" customHeight="1" x14ac:dyDescent="0.2">
      <c r="F617" s="31"/>
      <c r="G617" s="31"/>
      <c r="H617" s="31"/>
    </row>
    <row r="618" spans="6:8" ht="12.75" customHeight="1" x14ac:dyDescent="0.2">
      <c r="F618" s="31"/>
      <c r="G618" s="31"/>
      <c r="H618" s="31"/>
    </row>
    <row r="619" spans="6:8" ht="12.75" customHeight="1" x14ac:dyDescent="0.2">
      <c r="F619" s="31"/>
      <c r="G619" s="31"/>
      <c r="H619" s="31"/>
    </row>
    <row r="620" spans="6:8" ht="12.75" customHeight="1" x14ac:dyDescent="0.2">
      <c r="F620" s="31"/>
      <c r="G620" s="31"/>
      <c r="H620" s="31"/>
    </row>
    <row r="621" spans="6:8" ht="12.75" customHeight="1" x14ac:dyDescent="0.2">
      <c r="F621" s="31"/>
      <c r="G621" s="31"/>
      <c r="H621" s="31"/>
    </row>
    <row r="622" spans="6:8" ht="12.75" customHeight="1" x14ac:dyDescent="0.2">
      <c r="F622" s="31"/>
      <c r="G622" s="31"/>
      <c r="H622" s="31"/>
    </row>
    <row r="623" spans="6:8" ht="12.75" customHeight="1" x14ac:dyDescent="0.2">
      <c r="F623" s="31"/>
      <c r="G623" s="31"/>
      <c r="H623" s="31"/>
    </row>
    <row r="624" spans="6:8" ht="12.75" customHeight="1" x14ac:dyDescent="0.2">
      <c r="F624" s="31"/>
      <c r="G624" s="31"/>
      <c r="H624" s="31"/>
    </row>
    <row r="625" spans="6:8" ht="12.75" customHeight="1" x14ac:dyDescent="0.2">
      <c r="F625" s="31"/>
      <c r="G625" s="31"/>
      <c r="H625" s="31"/>
    </row>
    <row r="626" spans="6:8" ht="12.75" customHeight="1" x14ac:dyDescent="0.2">
      <c r="F626" s="31"/>
      <c r="G626" s="31"/>
      <c r="H626" s="31"/>
    </row>
    <row r="627" spans="6:8" ht="12.75" customHeight="1" x14ac:dyDescent="0.2">
      <c r="F627" s="31"/>
      <c r="G627" s="31"/>
      <c r="H627" s="31"/>
    </row>
    <row r="628" spans="6:8" ht="12.75" customHeight="1" x14ac:dyDescent="0.2">
      <c r="F628" s="31"/>
      <c r="G628" s="31"/>
      <c r="H628" s="31"/>
    </row>
    <row r="629" spans="6:8" ht="12.75" customHeight="1" x14ac:dyDescent="0.2">
      <c r="F629" s="31"/>
      <c r="G629" s="31"/>
      <c r="H629" s="31"/>
    </row>
    <row r="630" spans="6:8" ht="12.75" customHeight="1" x14ac:dyDescent="0.2">
      <c r="F630" s="31"/>
      <c r="G630" s="31"/>
      <c r="H630" s="31"/>
    </row>
    <row r="631" spans="6:8" ht="12.75" customHeight="1" x14ac:dyDescent="0.2">
      <c r="F631" s="31"/>
      <c r="G631" s="31"/>
      <c r="H631" s="31"/>
    </row>
    <row r="632" spans="6:8" ht="12.75" customHeight="1" x14ac:dyDescent="0.2">
      <c r="F632" s="31"/>
      <c r="G632" s="31"/>
      <c r="H632" s="31"/>
    </row>
    <row r="633" spans="6:8" ht="12.75" customHeight="1" x14ac:dyDescent="0.2">
      <c r="F633" s="31"/>
      <c r="G633" s="31"/>
      <c r="H633" s="31"/>
    </row>
    <row r="634" spans="6:8" ht="12.75" customHeight="1" x14ac:dyDescent="0.2">
      <c r="F634" s="31"/>
      <c r="G634" s="31"/>
      <c r="H634" s="31"/>
    </row>
    <row r="635" spans="6:8" ht="12.75" customHeight="1" x14ac:dyDescent="0.2">
      <c r="F635" s="31"/>
      <c r="G635" s="31"/>
      <c r="H635" s="31"/>
    </row>
    <row r="636" spans="6:8" ht="12.75" customHeight="1" x14ac:dyDescent="0.2">
      <c r="F636" s="31"/>
      <c r="G636" s="31"/>
      <c r="H636" s="31"/>
    </row>
    <row r="637" spans="6:8" ht="12.75" customHeight="1" x14ac:dyDescent="0.2">
      <c r="F637" s="31"/>
      <c r="G637" s="31"/>
      <c r="H637" s="31"/>
    </row>
    <row r="638" spans="6:8" ht="12.75" customHeight="1" x14ac:dyDescent="0.2">
      <c r="F638" s="31"/>
      <c r="G638" s="31"/>
      <c r="H638" s="31"/>
    </row>
    <row r="639" spans="6:8" ht="12.75" customHeight="1" x14ac:dyDescent="0.2">
      <c r="F639" s="31"/>
      <c r="G639" s="31"/>
      <c r="H639" s="31"/>
    </row>
    <row r="640" spans="6:8" ht="12.75" customHeight="1" x14ac:dyDescent="0.2">
      <c r="F640" s="31"/>
      <c r="G640" s="31"/>
      <c r="H640" s="31"/>
    </row>
    <row r="641" spans="6:8" ht="12.75" customHeight="1" x14ac:dyDescent="0.2">
      <c r="F641" s="31"/>
      <c r="G641" s="31"/>
      <c r="H641" s="31"/>
    </row>
    <row r="642" spans="6:8" ht="12.75" customHeight="1" x14ac:dyDescent="0.2">
      <c r="F642" s="31"/>
      <c r="G642" s="31"/>
      <c r="H642" s="31"/>
    </row>
    <row r="643" spans="6:8" ht="12.75" customHeight="1" x14ac:dyDescent="0.2">
      <c r="F643" s="31"/>
      <c r="G643" s="31"/>
      <c r="H643" s="31"/>
    </row>
    <row r="644" spans="6:8" ht="12.75" customHeight="1" x14ac:dyDescent="0.2">
      <c r="F644" s="31"/>
      <c r="G644" s="31"/>
      <c r="H644" s="31"/>
    </row>
    <row r="645" spans="6:8" ht="12.75" customHeight="1" x14ac:dyDescent="0.2">
      <c r="F645" s="31"/>
      <c r="G645" s="31"/>
      <c r="H645" s="31"/>
    </row>
    <row r="646" spans="6:8" ht="12.75" customHeight="1" x14ac:dyDescent="0.2">
      <c r="F646" s="31"/>
      <c r="G646" s="31"/>
      <c r="H646" s="31"/>
    </row>
    <row r="647" spans="6:8" ht="12.75" customHeight="1" x14ac:dyDescent="0.2">
      <c r="F647" s="31"/>
      <c r="G647" s="31"/>
      <c r="H647" s="31"/>
    </row>
    <row r="648" spans="6:8" ht="12.75" customHeight="1" x14ac:dyDescent="0.2">
      <c r="F648" s="31"/>
      <c r="G648" s="31"/>
      <c r="H648" s="31"/>
    </row>
    <row r="649" spans="6:8" ht="12.75" customHeight="1" x14ac:dyDescent="0.2">
      <c r="F649" s="31"/>
      <c r="G649" s="31"/>
      <c r="H649" s="31"/>
    </row>
    <row r="650" spans="6:8" ht="12.75" customHeight="1" x14ac:dyDescent="0.2">
      <c r="F650" s="31"/>
      <c r="G650" s="31"/>
      <c r="H650" s="31"/>
    </row>
    <row r="651" spans="6:8" ht="12.75" customHeight="1" x14ac:dyDescent="0.2">
      <c r="F651" s="31"/>
      <c r="G651" s="31"/>
      <c r="H651" s="31"/>
    </row>
    <row r="652" spans="6:8" ht="12.75" customHeight="1" x14ac:dyDescent="0.2">
      <c r="F652" s="31"/>
      <c r="G652" s="31"/>
      <c r="H652" s="31"/>
    </row>
    <row r="653" spans="6:8" ht="12.75" customHeight="1" x14ac:dyDescent="0.2">
      <c r="F653" s="31"/>
      <c r="G653" s="31"/>
      <c r="H653" s="31"/>
    </row>
    <row r="654" spans="6:8" ht="12.75" customHeight="1" x14ac:dyDescent="0.2">
      <c r="F654" s="31"/>
      <c r="G654" s="31"/>
      <c r="H654" s="31"/>
    </row>
    <row r="655" spans="6:8" ht="12.75" customHeight="1" x14ac:dyDescent="0.2">
      <c r="F655" s="31"/>
      <c r="G655" s="31"/>
      <c r="H655" s="31"/>
    </row>
    <row r="656" spans="6:8" ht="12.75" customHeight="1" x14ac:dyDescent="0.2">
      <c r="F656" s="31"/>
      <c r="G656" s="31"/>
      <c r="H656" s="31"/>
    </row>
    <row r="657" spans="6:8" ht="12.75" customHeight="1" x14ac:dyDescent="0.2">
      <c r="F657" s="31"/>
      <c r="G657" s="31"/>
      <c r="H657" s="31"/>
    </row>
    <row r="658" spans="6:8" ht="12.75" customHeight="1" x14ac:dyDescent="0.2">
      <c r="F658" s="31"/>
      <c r="G658" s="31"/>
      <c r="H658" s="31"/>
    </row>
    <row r="659" spans="6:8" ht="12.75" customHeight="1" x14ac:dyDescent="0.2">
      <c r="F659" s="31"/>
      <c r="G659" s="31"/>
      <c r="H659" s="31"/>
    </row>
    <row r="660" spans="6:8" ht="12.75" customHeight="1" x14ac:dyDescent="0.2">
      <c r="F660" s="31"/>
      <c r="G660" s="31"/>
      <c r="H660" s="31"/>
    </row>
    <row r="661" spans="6:8" ht="12.75" customHeight="1" x14ac:dyDescent="0.2">
      <c r="F661" s="31"/>
      <c r="G661" s="31"/>
      <c r="H661" s="31"/>
    </row>
    <row r="662" spans="6:8" ht="12.75" customHeight="1" x14ac:dyDescent="0.2">
      <c r="F662" s="31"/>
      <c r="G662" s="31"/>
      <c r="H662" s="31"/>
    </row>
    <row r="663" spans="6:8" ht="12.75" customHeight="1" x14ac:dyDescent="0.2">
      <c r="F663" s="31"/>
      <c r="G663" s="31"/>
      <c r="H663" s="31"/>
    </row>
    <row r="664" spans="6:8" ht="12.75" customHeight="1" x14ac:dyDescent="0.2">
      <c r="F664" s="31"/>
      <c r="G664" s="31"/>
      <c r="H664" s="31"/>
    </row>
    <row r="665" spans="6:8" ht="12.75" customHeight="1" x14ac:dyDescent="0.2">
      <c r="F665" s="31"/>
      <c r="G665" s="31"/>
      <c r="H665" s="31"/>
    </row>
    <row r="666" spans="6:8" ht="12.75" customHeight="1" x14ac:dyDescent="0.2">
      <c r="F666" s="31"/>
      <c r="G666" s="31"/>
      <c r="H666" s="31"/>
    </row>
    <row r="667" spans="6:8" ht="12.75" customHeight="1" x14ac:dyDescent="0.2">
      <c r="F667" s="31"/>
      <c r="G667" s="31"/>
      <c r="H667" s="31"/>
    </row>
    <row r="668" spans="6:8" ht="12.75" customHeight="1" x14ac:dyDescent="0.2">
      <c r="F668" s="31"/>
      <c r="G668" s="31"/>
      <c r="H668" s="31"/>
    </row>
    <row r="669" spans="6:8" ht="12.75" customHeight="1" x14ac:dyDescent="0.2">
      <c r="F669" s="31"/>
      <c r="G669" s="31"/>
      <c r="H669" s="31"/>
    </row>
    <row r="670" spans="6:8" ht="12.75" customHeight="1" x14ac:dyDescent="0.2">
      <c r="F670" s="31"/>
      <c r="G670" s="31"/>
      <c r="H670" s="31"/>
    </row>
    <row r="671" spans="6:8" ht="12.75" customHeight="1" x14ac:dyDescent="0.2">
      <c r="F671" s="31"/>
      <c r="G671" s="31"/>
      <c r="H671" s="31"/>
    </row>
    <row r="672" spans="6:8" ht="12.75" customHeight="1" x14ac:dyDescent="0.2">
      <c r="F672" s="31"/>
      <c r="G672" s="31"/>
      <c r="H672" s="31"/>
    </row>
    <row r="673" spans="6:8" ht="12.75" customHeight="1" x14ac:dyDescent="0.2">
      <c r="F673" s="31"/>
      <c r="G673" s="31"/>
      <c r="H673" s="31"/>
    </row>
    <row r="674" spans="6:8" ht="12.75" customHeight="1" x14ac:dyDescent="0.2">
      <c r="F674" s="31"/>
      <c r="G674" s="31"/>
      <c r="H674" s="31"/>
    </row>
    <row r="675" spans="6:8" ht="12.75" customHeight="1" x14ac:dyDescent="0.2">
      <c r="F675" s="31"/>
      <c r="G675" s="31"/>
      <c r="H675" s="31"/>
    </row>
    <row r="676" spans="6:8" ht="12.75" customHeight="1" x14ac:dyDescent="0.2">
      <c r="F676" s="31"/>
      <c r="G676" s="31"/>
      <c r="H676" s="31"/>
    </row>
    <row r="677" spans="6:8" ht="12.75" customHeight="1" x14ac:dyDescent="0.2">
      <c r="F677" s="31"/>
      <c r="G677" s="31"/>
      <c r="H677" s="31"/>
    </row>
    <row r="678" spans="6:8" ht="12.75" customHeight="1" x14ac:dyDescent="0.2">
      <c r="F678" s="31"/>
      <c r="G678" s="31"/>
      <c r="H678" s="31"/>
    </row>
    <row r="679" spans="6:8" ht="12.75" customHeight="1" x14ac:dyDescent="0.2">
      <c r="F679" s="31"/>
      <c r="G679" s="31"/>
      <c r="H679" s="31"/>
    </row>
    <row r="680" spans="6:8" ht="12.75" customHeight="1" x14ac:dyDescent="0.2">
      <c r="F680" s="31"/>
      <c r="G680" s="31"/>
      <c r="H680" s="31"/>
    </row>
    <row r="681" spans="6:8" ht="12.75" customHeight="1" x14ac:dyDescent="0.2">
      <c r="F681" s="31"/>
      <c r="G681" s="31"/>
      <c r="H681" s="31"/>
    </row>
    <row r="682" spans="6:8" ht="12.75" customHeight="1" x14ac:dyDescent="0.2">
      <c r="F682" s="31"/>
      <c r="G682" s="31"/>
      <c r="H682" s="31"/>
    </row>
    <row r="683" spans="6:8" ht="12.75" customHeight="1" x14ac:dyDescent="0.2">
      <c r="F683" s="31"/>
      <c r="G683" s="31"/>
      <c r="H683" s="31"/>
    </row>
    <row r="684" spans="6:8" ht="12.75" customHeight="1" x14ac:dyDescent="0.2">
      <c r="F684" s="31"/>
      <c r="G684" s="31"/>
      <c r="H684" s="31"/>
    </row>
    <row r="685" spans="6:8" ht="12.75" customHeight="1" x14ac:dyDescent="0.2">
      <c r="F685" s="31"/>
      <c r="G685" s="31"/>
      <c r="H685" s="31"/>
    </row>
    <row r="686" spans="6:8" ht="12.75" customHeight="1" x14ac:dyDescent="0.2">
      <c r="F686" s="31"/>
      <c r="G686" s="31"/>
      <c r="H686" s="31"/>
    </row>
    <row r="687" spans="6:8" ht="12.75" customHeight="1" x14ac:dyDescent="0.2">
      <c r="F687" s="31"/>
      <c r="G687" s="31"/>
      <c r="H687" s="31"/>
    </row>
    <row r="688" spans="6:8" ht="12.75" customHeight="1" x14ac:dyDescent="0.2">
      <c r="F688" s="31"/>
      <c r="G688" s="31"/>
      <c r="H688" s="31"/>
    </row>
    <row r="689" spans="6:8" ht="12.75" customHeight="1" x14ac:dyDescent="0.2">
      <c r="F689" s="31"/>
      <c r="G689" s="31"/>
      <c r="H689" s="31"/>
    </row>
    <row r="690" spans="6:8" ht="12.75" customHeight="1" x14ac:dyDescent="0.2">
      <c r="F690" s="31"/>
      <c r="G690" s="31"/>
      <c r="H690" s="31"/>
    </row>
    <row r="691" spans="6:8" ht="12.75" customHeight="1" x14ac:dyDescent="0.2">
      <c r="F691" s="31"/>
      <c r="G691" s="31"/>
      <c r="H691" s="31"/>
    </row>
    <row r="692" spans="6:8" ht="12.75" customHeight="1" x14ac:dyDescent="0.2">
      <c r="F692" s="31"/>
      <c r="G692" s="31"/>
      <c r="H692" s="31"/>
    </row>
    <row r="693" spans="6:8" ht="12.75" customHeight="1" x14ac:dyDescent="0.2">
      <c r="F693" s="31"/>
      <c r="G693" s="31"/>
      <c r="H693" s="31"/>
    </row>
    <row r="694" spans="6:8" ht="12.75" customHeight="1" x14ac:dyDescent="0.2">
      <c r="F694" s="31"/>
      <c r="G694" s="31"/>
      <c r="H694" s="31"/>
    </row>
    <row r="695" spans="6:8" ht="12.75" customHeight="1" x14ac:dyDescent="0.2">
      <c r="F695" s="31"/>
      <c r="G695" s="31"/>
      <c r="H695" s="31"/>
    </row>
    <row r="696" spans="6:8" ht="12.75" customHeight="1" x14ac:dyDescent="0.2">
      <c r="F696" s="31"/>
      <c r="G696" s="31"/>
      <c r="H696" s="31"/>
    </row>
    <row r="697" spans="6:8" ht="12.75" customHeight="1" x14ac:dyDescent="0.2">
      <c r="F697" s="31"/>
      <c r="G697" s="31"/>
      <c r="H697" s="31"/>
    </row>
    <row r="698" spans="6:8" ht="12.75" customHeight="1" x14ac:dyDescent="0.2">
      <c r="F698" s="31"/>
      <c r="G698" s="31"/>
      <c r="H698" s="31"/>
    </row>
    <row r="699" spans="6:8" ht="12.75" customHeight="1" x14ac:dyDescent="0.2">
      <c r="F699" s="31"/>
      <c r="G699" s="31"/>
      <c r="H699" s="31"/>
    </row>
    <row r="700" spans="6:8" ht="12.75" customHeight="1" x14ac:dyDescent="0.2">
      <c r="F700" s="31"/>
      <c r="G700" s="31"/>
      <c r="H700" s="31"/>
    </row>
    <row r="701" spans="6:8" ht="12.75" customHeight="1" x14ac:dyDescent="0.2">
      <c r="F701" s="31"/>
      <c r="G701" s="31"/>
      <c r="H701" s="31"/>
    </row>
    <row r="702" spans="6:8" ht="12.75" customHeight="1" x14ac:dyDescent="0.2">
      <c r="F702" s="31"/>
      <c r="G702" s="31"/>
      <c r="H702" s="31"/>
    </row>
    <row r="703" spans="6:8" ht="12.75" customHeight="1" x14ac:dyDescent="0.2">
      <c r="F703" s="31"/>
      <c r="G703" s="31"/>
      <c r="H703" s="31"/>
    </row>
    <row r="704" spans="6:8" ht="12.75" customHeight="1" x14ac:dyDescent="0.2">
      <c r="F704" s="31"/>
      <c r="G704" s="31"/>
      <c r="H704" s="31"/>
    </row>
    <row r="705" spans="6:8" ht="12.75" customHeight="1" x14ac:dyDescent="0.2">
      <c r="F705" s="31"/>
      <c r="G705" s="31"/>
      <c r="H705" s="31"/>
    </row>
    <row r="706" spans="6:8" ht="12.75" customHeight="1" x14ac:dyDescent="0.2">
      <c r="F706" s="31"/>
      <c r="G706" s="31"/>
      <c r="H706" s="31"/>
    </row>
    <row r="707" spans="6:8" ht="12.75" customHeight="1" x14ac:dyDescent="0.2">
      <c r="F707" s="31"/>
      <c r="G707" s="31"/>
      <c r="H707" s="31"/>
    </row>
    <row r="708" spans="6:8" ht="12.75" customHeight="1" x14ac:dyDescent="0.2">
      <c r="F708" s="31"/>
      <c r="G708" s="31"/>
      <c r="H708" s="31"/>
    </row>
    <row r="709" spans="6:8" ht="12.75" customHeight="1" x14ac:dyDescent="0.2">
      <c r="F709" s="31"/>
      <c r="G709" s="31"/>
      <c r="H709" s="31"/>
    </row>
    <row r="710" spans="6:8" ht="12.75" customHeight="1" x14ac:dyDescent="0.2">
      <c r="F710" s="31"/>
      <c r="G710" s="31"/>
      <c r="H710" s="31"/>
    </row>
    <row r="711" spans="6:8" ht="12.75" customHeight="1" x14ac:dyDescent="0.2">
      <c r="F711" s="31"/>
      <c r="G711" s="31"/>
      <c r="H711" s="31"/>
    </row>
    <row r="712" spans="6:8" ht="12.75" customHeight="1" x14ac:dyDescent="0.2">
      <c r="F712" s="31"/>
      <c r="G712" s="31"/>
      <c r="H712" s="31"/>
    </row>
    <row r="713" spans="6:8" ht="12.75" customHeight="1" x14ac:dyDescent="0.2">
      <c r="F713" s="31"/>
      <c r="G713" s="31"/>
      <c r="H713" s="31"/>
    </row>
    <row r="714" spans="6:8" ht="12.75" customHeight="1" x14ac:dyDescent="0.2">
      <c r="F714" s="31"/>
      <c r="G714" s="31"/>
      <c r="H714" s="31"/>
    </row>
    <row r="715" spans="6:8" ht="12.75" customHeight="1" x14ac:dyDescent="0.2">
      <c r="F715" s="31"/>
      <c r="G715" s="31"/>
      <c r="H715" s="31"/>
    </row>
    <row r="716" spans="6:8" ht="12.75" customHeight="1" x14ac:dyDescent="0.2">
      <c r="F716" s="31"/>
      <c r="G716" s="31"/>
      <c r="H716" s="31"/>
    </row>
    <row r="717" spans="6:8" ht="12.75" customHeight="1" x14ac:dyDescent="0.2">
      <c r="F717" s="31"/>
      <c r="G717" s="31"/>
      <c r="H717" s="31"/>
    </row>
    <row r="718" spans="6:8" ht="12.75" customHeight="1" x14ac:dyDescent="0.2">
      <c r="F718" s="31"/>
      <c r="G718" s="31"/>
      <c r="H718" s="31"/>
    </row>
    <row r="719" spans="6:8" ht="12.75" customHeight="1" x14ac:dyDescent="0.2">
      <c r="F719" s="31"/>
      <c r="G719" s="31"/>
      <c r="H719" s="31"/>
    </row>
    <row r="720" spans="6:8" ht="12.75" customHeight="1" x14ac:dyDescent="0.2">
      <c r="F720" s="31"/>
      <c r="G720" s="31"/>
      <c r="H720" s="31"/>
    </row>
    <row r="721" spans="6:8" ht="12.75" customHeight="1" x14ac:dyDescent="0.2">
      <c r="F721" s="31"/>
      <c r="G721" s="31"/>
      <c r="H721" s="31"/>
    </row>
    <row r="722" spans="6:8" ht="12.75" customHeight="1" x14ac:dyDescent="0.2">
      <c r="F722" s="31"/>
      <c r="G722" s="31"/>
      <c r="H722" s="31"/>
    </row>
    <row r="723" spans="6:8" ht="12.75" customHeight="1" x14ac:dyDescent="0.2">
      <c r="F723" s="31"/>
      <c r="G723" s="31"/>
      <c r="H723" s="31"/>
    </row>
    <row r="724" spans="6:8" ht="12.75" customHeight="1" x14ac:dyDescent="0.2">
      <c r="F724" s="31"/>
      <c r="G724" s="31"/>
      <c r="H724" s="31"/>
    </row>
    <row r="725" spans="6:8" ht="12.75" customHeight="1" x14ac:dyDescent="0.2">
      <c r="F725" s="31"/>
      <c r="G725" s="31"/>
      <c r="H725" s="31"/>
    </row>
    <row r="726" spans="6:8" ht="12.75" customHeight="1" x14ac:dyDescent="0.2">
      <c r="F726" s="31"/>
      <c r="G726" s="31"/>
      <c r="H726" s="31"/>
    </row>
    <row r="727" spans="6:8" ht="12.75" customHeight="1" x14ac:dyDescent="0.2">
      <c r="F727" s="31"/>
      <c r="G727" s="31"/>
      <c r="H727" s="31"/>
    </row>
    <row r="728" spans="6:8" ht="12.75" customHeight="1" x14ac:dyDescent="0.2">
      <c r="F728" s="31"/>
      <c r="G728" s="31"/>
      <c r="H728" s="31"/>
    </row>
    <row r="729" spans="6:8" ht="12.75" customHeight="1" x14ac:dyDescent="0.2">
      <c r="F729" s="31"/>
      <c r="G729" s="31"/>
      <c r="H729" s="31"/>
    </row>
    <row r="730" spans="6:8" ht="12.75" customHeight="1" x14ac:dyDescent="0.2">
      <c r="F730" s="31"/>
      <c r="G730" s="31"/>
      <c r="H730" s="31"/>
    </row>
    <row r="731" spans="6:8" ht="12.75" customHeight="1" x14ac:dyDescent="0.2">
      <c r="F731" s="31"/>
      <c r="G731" s="31"/>
      <c r="H731" s="31"/>
    </row>
    <row r="732" spans="6:8" ht="12.75" customHeight="1" x14ac:dyDescent="0.2">
      <c r="F732" s="31"/>
      <c r="G732" s="31"/>
      <c r="H732" s="31"/>
    </row>
    <row r="733" spans="6:8" ht="12.75" customHeight="1" x14ac:dyDescent="0.2">
      <c r="F733" s="31"/>
      <c r="G733" s="31"/>
      <c r="H733" s="31"/>
    </row>
    <row r="734" spans="6:8" ht="12.75" customHeight="1" x14ac:dyDescent="0.2">
      <c r="F734" s="31"/>
      <c r="G734" s="31"/>
      <c r="H734" s="31"/>
    </row>
    <row r="735" spans="6:8" ht="12.75" customHeight="1" x14ac:dyDescent="0.2">
      <c r="F735" s="31"/>
      <c r="G735" s="31"/>
      <c r="H735" s="31"/>
    </row>
    <row r="736" spans="6:8" ht="12.75" customHeight="1" x14ac:dyDescent="0.2">
      <c r="F736" s="31"/>
      <c r="G736" s="31"/>
      <c r="H736" s="31"/>
    </row>
    <row r="737" spans="6:8" ht="12.75" customHeight="1" x14ac:dyDescent="0.2">
      <c r="F737" s="31"/>
      <c r="G737" s="31"/>
      <c r="H737" s="31"/>
    </row>
    <row r="738" spans="6:8" ht="12.75" customHeight="1" x14ac:dyDescent="0.2">
      <c r="F738" s="31"/>
      <c r="G738" s="31"/>
      <c r="H738" s="31"/>
    </row>
    <row r="739" spans="6:8" ht="12.75" customHeight="1" x14ac:dyDescent="0.2">
      <c r="F739" s="31"/>
      <c r="G739" s="31"/>
      <c r="H739" s="31"/>
    </row>
    <row r="740" spans="6:8" ht="12.75" customHeight="1" x14ac:dyDescent="0.2">
      <c r="F740" s="31"/>
      <c r="G740" s="31"/>
      <c r="H740" s="31"/>
    </row>
    <row r="741" spans="6:8" ht="12.75" customHeight="1" x14ac:dyDescent="0.2">
      <c r="F741" s="31"/>
      <c r="G741" s="31"/>
      <c r="H741" s="31"/>
    </row>
    <row r="742" spans="6:8" ht="12.75" customHeight="1" x14ac:dyDescent="0.2">
      <c r="F742" s="31"/>
      <c r="G742" s="31"/>
      <c r="H742" s="31"/>
    </row>
    <row r="743" spans="6:8" ht="12.75" customHeight="1" x14ac:dyDescent="0.2">
      <c r="F743" s="31"/>
      <c r="G743" s="31"/>
      <c r="H743" s="31"/>
    </row>
    <row r="744" spans="6:8" ht="12.75" customHeight="1" x14ac:dyDescent="0.2">
      <c r="F744" s="31"/>
      <c r="G744" s="31"/>
      <c r="H744" s="31"/>
    </row>
    <row r="745" spans="6:8" ht="12.75" customHeight="1" x14ac:dyDescent="0.2">
      <c r="F745" s="31"/>
      <c r="G745" s="31"/>
      <c r="H745" s="31"/>
    </row>
    <row r="746" spans="6:8" ht="12.75" customHeight="1" x14ac:dyDescent="0.2">
      <c r="F746" s="31"/>
      <c r="G746" s="31"/>
      <c r="H746" s="31"/>
    </row>
    <row r="747" spans="6:8" ht="12.75" customHeight="1" x14ac:dyDescent="0.2">
      <c r="F747" s="31"/>
      <c r="G747" s="31"/>
      <c r="H747" s="31"/>
    </row>
    <row r="748" spans="6:8" ht="12.75" customHeight="1" x14ac:dyDescent="0.2">
      <c r="F748" s="31"/>
      <c r="G748" s="31"/>
      <c r="H748" s="31"/>
    </row>
    <row r="749" spans="6:8" ht="12.75" customHeight="1" x14ac:dyDescent="0.2">
      <c r="F749" s="31"/>
      <c r="G749" s="31"/>
      <c r="H749" s="31"/>
    </row>
    <row r="750" spans="6:8" ht="12.75" customHeight="1" x14ac:dyDescent="0.2">
      <c r="F750" s="31"/>
      <c r="G750" s="31"/>
      <c r="H750" s="31"/>
    </row>
    <row r="751" spans="6:8" ht="12.75" customHeight="1" x14ac:dyDescent="0.2">
      <c r="F751" s="31"/>
      <c r="G751" s="31"/>
      <c r="H751" s="31"/>
    </row>
    <row r="752" spans="6:8" ht="12.75" customHeight="1" x14ac:dyDescent="0.2">
      <c r="F752" s="31"/>
      <c r="G752" s="31"/>
      <c r="H752" s="31"/>
    </row>
    <row r="753" spans="6:8" ht="12.75" customHeight="1" x14ac:dyDescent="0.2">
      <c r="F753" s="31"/>
      <c r="G753" s="31"/>
      <c r="H753" s="31"/>
    </row>
    <row r="754" spans="6:8" ht="12.75" customHeight="1" x14ac:dyDescent="0.2">
      <c r="F754" s="31"/>
      <c r="G754" s="31"/>
      <c r="H754" s="31"/>
    </row>
    <row r="755" spans="6:8" ht="12.75" customHeight="1" x14ac:dyDescent="0.2">
      <c r="F755" s="31"/>
      <c r="G755" s="31"/>
      <c r="H755" s="31"/>
    </row>
    <row r="756" spans="6:8" ht="12.75" customHeight="1" x14ac:dyDescent="0.2">
      <c r="F756" s="31"/>
      <c r="G756" s="31"/>
      <c r="H756" s="31"/>
    </row>
    <row r="757" spans="6:8" ht="12.75" customHeight="1" x14ac:dyDescent="0.2">
      <c r="F757" s="31"/>
      <c r="G757" s="31"/>
      <c r="H757" s="31"/>
    </row>
    <row r="758" spans="6:8" ht="12.75" customHeight="1" x14ac:dyDescent="0.2">
      <c r="F758" s="31"/>
      <c r="G758" s="31"/>
      <c r="H758" s="31"/>
    </row>
    <row r="759" spans="6:8" ht="12.75" customHeight="1" x14ac:dyDescent="0.2">
      <c r="F759" s="31"/>
      <c r="G759" s="31"/>
      <c r="H759" s="31"/>
    </row>
    <row r="760" spans="6:8" ht="12.75" customHeight="1" x14ac:dyDescent="0.2">
      <c r="F760" s="31"/>
      <c r="G760" s="31"/>
      <c r="H760" s="31"/>
    </row>
    <row r="761" spans="6:8" ht="12.75" customHeight="1" x14ac:dyDescent="0.2">
      <c r="F761" s="31"/>
      <c r="G761" s="31"/>
      <c r="H761" s="31"/>
    </row>
    <row r="762" spans="6:8" ht="12.75" customHeight="1" x14ac:dyDescent="0.2">
      <c r="F762" s="31"/>
      <c r="G762" s="31"/>
      <c r="H762" s="31"/>
    </row>
    <row r="763" spans="6:8" ht="12.75" customHeight="1" x14ac:dyDescent="0.2">
      <c r="F763" s="31"/>
      <c r="G763" s="31"/>
      <c r="H763" s="31"/>
    </row>
    <row r="764" spans="6:8" ht="12.75" customHeight="1" x14ac:dyDescent="0.2">
      <c r="F764" s="31"/>
      <c r="G764" s="31"/>
      <c r="H764" s="31"/>
    </row>
    <row r="765" spans="6:8" ht="12.75" customHeight="1" x14ac:dyDescent="0.2">
      <c r="F765" s="31"/>
      <c r="G765" s="31"/>
      <c r="H765" s="31"/>
    </row>
    <row r="766" spans="6:8" ht="12.75" customHeight="1" x14ac:dyDescent="0.2">
      <c r="F766" s="31"/>
      <c r="G766" s="31"/>
      <c r="H766" s="31"/>
    </row>
    <row r="767" spans="6:8" ht="12.75" customHeight="1" x14ac:dyDescent="0.2">
      <c r="F767" s="31"/>
      <c r="G767" s="31"/>
      <c r="H767" s="31"/>
    </row>
    <row r="768" spans="6:8" ht="12.75" customHeight="1" x14ac:dyDescent="0.2">
      <c r="F768" s="31"/>
      <c r="G768" s="31"/>
      <c r="H768" s="31"/>
    </row>
    <row r="769" spans="6:8" ht="12.75" customHeight="1" x14ac:dyDescent="0.2">
      <c r="F769" s="31"/>
      <c r="G769" s="31"/>
      <c r="H769" s="31"/>
    </row>
    <row r="770" spans="6:8" ht="12.75" customHeight="1" x14ac:dyDescent="0.2">
      <c r="F770" s="31"/>
      <c r="G770" s="31"/>
      <c r="H770" s="31"/>
    </row>
    <row r="771" spans="6:8" ht="12.75" customHeight="1" x14ac:dyDescent="0.2">
      <c r="F771" s="31"/>
      <c r="G771" s="31"/>
      <c r="H771" s="31"/>
    </row>
    <row r="772" spans="6:8" ht="12.75" customHeight="1" x14ac:dyDescent="0.2">
      <c r="F772" s="31"/>
      <c r="G772" s="31"/>
      <c r="H772" s="31"/>
    </row>
    <row r="773" spans="6:8" ht="12.75" customHeight="1" x14ac:dyDescent="0.2">
      <c r="F773" s="31"/>
      <c r="G773" s="31"/>
      <c r="H773" s="31"/>
    </row>
    <row r="774" spans="6:8" ht="12.75" customHeight="1" x14ac:dyDescent="0.2">
      <c r="F774" s="31"/>
      <c r="G774" s="31"/>
      <c r="H774" s="31"/>
    </row>
    <row r="775" spans="6:8" ht="12.75" customHeight="1" x14ac:dyDescent="0.2">
      <c r="F775" s="31"/>
      <c r="G775" s="31"/>
      <c r="H775" s="31"/>
    </row>
    <row r="776" spans="6:8" ht="12.75" customHeight="1" x14ac:dyDescent="0.2">
      <c r="F776" s="31"/>
      <c r="G776" s="31"/>
      <c r="H776" s="31"/>
    </row>
    <row r="777" spans="6:8" ht="12.75" customHeight="1" x14ac:dyDescent="0.2">
      <c r="F777" s="31"/>
      <c r="G777" s="31"/>
      <c r="H777" s="31"/>
    </row>
    <row r="778" spans="6:8" ht="12.75" customHeight="1" x14ac:dyDescent="0.2">
      <c r="F778" s="31"/>
      <c r="G778" s="31"/>
      <c r="H778" s="31"/>
    </row>
    <row r="779" spans="6:8" ht="12.75" customHeight="1" x14ac:dyDescent="0.2">
      <c r="F779" s="31"/>
      <c r="G779" s="31"/>
      <c r="H779" s="31"/>
    </row>
    <row r="780" spans="6:8" ht="12.75" customHeight="1" x14ac:dyDescent="0.2">
      <c r="F780" s="31"/>
      <c r="G780" s="31"/>
      <c r="H780" s="31"/>
    </row>
    <row r="781" spans="6:8" ht="12.75" customHeight="1" x14ac:dyDescent="0.2">
      <c r="F781" s="31"/>
      <c r="G781" s="31"/>
      <c r="H781" s="31"/>
    </row>
    <row r="782" spans="6:8" ht="12.75" customHeight="1" x14ac:dyDescent="0.2">
      <c r="F782" s="31"/>
      <c r="G782" s="31"/>
      <c r="H782" s="31"/>
    </row>
    <row r="783" spans="6:8" ht="12.75" customHeight="1" x14ac:dyDescent="0.2">
      <c r="F783" s="31"/>
      <c r="G783" s="31"/>
      <c r="H783" s="31"/>
    </row>
    <row r="784" spans="6:8" ht="12.75" customHeight="1" x14ac:dyDescent="0.2">
      <c r="F784" s="31"/>
      <c r="G784" s="31"/>
      <c r="H784" s="31"/>
    </row>
    <row r="785" spans="6:8" ht="12.75" customHeight="1" x14ac:dyDescent="0.2">
      <c r="F785" s="31"/>
      <c r="G785" s="31"/>
      <c r="H785" s="31"/>
    </row>
    <row r="786" spans="6:8" ht="12.75" customHeight="1" x14ac:dyDescent="0.2">
      <c r="F786" s="31"/>
      <c r="G786" s="31"/>
      <c r="H786" s="31"/>
    </row>
    <row r="787" spans="6:8" ht="12.75" customHeight="1" x14ac:dyDescent="0.2">
      <c r="F787" s="31"/>
      <c r="G787" s="31"/>
      <c r="H787" s="31"/>
    </row>
    <row r="788" spans="6:8" ht="12.75" customHeight="1" x14ac:dyDescent="0.2">
      <c r="F788" s="31"/>
      <c r="G788" s="31"/>
      <c r="H788" s="31"/>
    </row>
    <row r="789" spans="6:8" ht="12.75" customHeight="1" x14ac:dyDescent="0.2">
      <c r="F789" s="31"/>
      <c r="G789" s="31"/>
      <c r="H789" s="31"/>
    </row>
    <row r="790" spans="6:8" ht="12.75" customHeight="1" x14ac:dyDescent="0.2">
      <c r="F790" s="31"/>
      <c r="G790" s="31"/>
      <c r="H790" s="31"/>
    </row>
    <row r="791" spans="6:8" ht="12.75" customHeight="1" x14ac:dyDescent="0.2">
      <c r="F791" s="31"/>
      <c r="G791" s="31"/>
      <c r="H791" s="31"/>
    </row>
    <row r="792" spans="6:8" ht="12.75" customHeight="1" x14ac:dyDescent="0.2">
      <c r="F792" s="31"/>
      <c r="G792" s="31"/>
      <c r="H792" s="31"/>
    </row>
    <row r="793" spans="6:8" ht="12.75" customHeight="1" x14ac:dyDescent="0.2">
      <c r="F793" s="31"/>
      <c r="G793" s="31"/>
      <c r="H793" s="31"/>
    </row>
    <row r="794" spans="6:8" ht="12.75" customHeight="1" x14ac:dyDescent="0.2">
      <c r="F794" s="31"/>
      <c r="G794" s="31"/>
      <c r="H794" s="31"/>
    </row>
    <row r="795" spans="6:8" ht="12.75" customHeight="1" x14ac:dyDescent="0.2">
      <c r="F795" s="31"/>
      <c r="G795" s="31"/>
      <c r="H795" s="31"/>
    </row>
    <row r="796" spans="6:8" ht="12.75" customHeight="1" x14ac:dyDescent="0.2">
      <c r="F796" s="31"/>
      <c r="G796" s="31"/>
      <c r="H796" s="31"/>
    </row>
    <row r="797" spans="6:8" ht="12.75" customHeight="1" x14ac:dyDescent="0.2">
      <c r="F797" s="31"/>
      <c r="G797" s="31"/>
      <c r="H797" s="31"/>
    </row>
    <row r="798" spans="6:8" ht="12.75" customHeight="1" x14ac:dyDescent="0.2">
      <c r="F798" s="31"/>
      <c r="G798" s="31"/>
      <c r="H798" s="31"/>
    </row>
    <row r="799" spans="6:8" ht="12.75" customHeight="1" x14ac:dyDescent="0.2">
      <c r="F799" s="31"/>
      <c r="G799" s="31"/>
      <c r="H799" s="31"/>
    </row>
    <row r="800" spans="6:8" ht="12.75" customHeight="1" x14ac:dyDescent="0.2">
      <c r="F800" s="31"/>
      <c r="G800" s="31"/>
      <c r="H800" s="31"/>
    </row>
    <row r="801" spans="6:8" ht="12.75" customHeight="1" x14ac:dyDescent="0.2">
      <c r="F801" s="31"/>
      <c r="G801" s="31"/>
      <c r="H801" s="31"/>
    </row>
    <row r="802" spans="6:8" ht="12.75" customHeight="1" x14ac:dyDescent="0.2">
      <c r="F802" s="31"/>
      <c r="G802" s="31"/>
      <c r="H802" s="31"/>
    </row>
    <row r="803" spans="6:8" ht="12.75" customHeight="1" x14ac:dyDescent="0.2">
      <c r="F803" s="31"/>
      <c r="G803" s="31"/>
      <c r="H803" s="31"/>
    </row>
    <row r="804" spans="6:8" ht="12.75" customHeight="1" x14ac:dyDescent="0.2">
      <c r="F804" s="31"/>
      <c r="G804" s="31"/>
      <c r="H804" s="31"/>
    </row>
    <row r="805" spans="6:8" ht="12.75" customHeight="1" x14ac:dyDescent="0.2">
      <c r="F805" s="31"/>
      <c r="G805" s="31"/>
      <c r="H805" s="31"/>
    </row>
    <row r="806" spans="6:8" ht="12.75" customHeight="1" x14ac:dyDescent="0.2">
      <c r="F806" s="31"/>
      <c r="G806" s="31"/>
      <c r="H806" s="31"/>
    </row>
    <row r="807" spans="6:8" ht="12.75" customHeight="1" x14ac:dyDescent="0.2">
      <c r="F807" s="31"/>
      <c r="G807" s="31"/>
      <c r="H807" s="31"/>
    </row>
    <row r="808" spans="6:8" ht="12.75" customHeight="1" x14ac:dyDescent="0.2">
      <c r="F808" s="31"/>
      <c r="G808" s="31"/>
      <c r="H808" s="31"/>
    </row>
    <row r="809" spans="6:8" ht="12.75" customHeight="1" x14ac:dyDescent="0.2">
      <c r="F809" s="31"/>
      <c r="G809" s="31"/>
      <c r="H809" s="31"/>
    </row>
    <row r="810" spans="6:8" ht="12.75" customHeight="1" x14ac:dyDescent="0.2">
      <c r="F810" s="31"/>
      <c r="G810" s="31"/>
      <c r="H810" s="31"/>
    </row>
    <row r="811" spans="6:8" ht="12.75" customHeight="1" x14ac:dyDescent="0.2">
      <c r="F811" s="31"/>
      <c r="G811" s="31"/>
      <c r="H811" s="31"/>
    </row>
    <row r="812" spans="6:8" ht="12.75" customHeight="1" x14ac:dyDescent="0.2">
      <c r="F812" s="31"/>
      <c r="G812" s="31"/>
      <c r="H812" s="31"/>
    </row>
    <row r="813" spans="6:8" ht="12.75" customHeight="1" x14ac:dyDescent="0.2">
      <c r="F813" s="31"/>
      <c r="G813" s="31"/>
      <c r="H813" s="31"/>
    </row>
    <row r="814" spans="6:8" ht="12.75" customHeight="1" x14ac:dyDescent="0.2">
      <c r="F814" s="31"/>
      <c r="G814" s="31"/>
      <c r="H814" s="31"/>
    </row>
    <row r="815" spans="6:8" ht="12.75" customHeight="1" x14ac:dyDescent="0.2">
      <c r="F815" s="31"/>
      <c r="G815" s="31"/>
      <c r="H815" s="31"/>
    </row>
    <row r="816" spans="6:8" ht="12.75" customHeight="1" x14ac:dyDescent="0.2">
      <c r="F816" s="31"/>
      <c r="G816" s="31"/>
      <c r="H816" s="31"/>
    </row>
    <row r="817" spans="6:8" ht="12.75" customHeight="1" x14ac:dyDescent="0.2">
      <c r="F817" s="31"/>
      <c r="G817" s="31"/>
      <c r="H817" s="31"/>
    </row>
    <row r="818" spans="6:8" ht="12.75" customHeight="1" x14ac:dyDescent="0.2">
      <c r="F818" s="31"/>
      <c r="G818" s="31"/>
      <c r="H818" s="31"/>
    </row>
    <row r="819" spans="6:8" ht="12.75" customHeight="1" x14ac:dyDescent="0.2">
      <c r="F819" s="31"/>
      <c r="G819" s="31"/>
      <c r="H819" s="31"/>
    </row>
    <row r="820" spans="6:8" ht="12.75" customHeight="1" x14ac:dyDescent="0.2">
      <c r="F820" s="31"/>
      <c r="G820" s="31"/>
      <c r="H820" s="31"/>
    </row>
    <row r="821" spans="6:8" ht="12.75" customHeight="1" x14ac:dyDescent="0.2">
      <c r="F821" s="31"/>
      <c r="G821" s="31"/>
      <c r="H821" s="31"/>
    </row>
    <row r="822" spans="6:8" ht="12.75" customHeight="1" x14ac:dyDescent="0.2">
      <c r="F822" s="31"/>
      <c r="G822" s="31"/>
      <c r="H822" s="31"/>
    </row>
    <row r="823" spans="6:8" ht="12.75" customHeight="1" x14ac:dyDescent="0.2">
      <c r="F823" s="31"/>
      <c r="G823" s="31"/>
      <c r="H823" s="31"/>
    </row>
    <row r="824" spans="6:8" ht="12.75" customHeight="1" x14ac:dyDescent="0.2">
      <c r="F824" s="31"/>
      <c r="G824" s="31"/>
      <c r="H824" s="31"/>
    </row>
    <row r="825" spans="6:8" ht="12.75" customHeight="1" x14ac:dyDescent="0.2">
      <c r="F825" s="31"/>
      <c r="G825" s="31"/>
      <c r="H825" s="31"/>
    </row>
    <row r="826" spans="6:8" ht="12.75" customHeight="1" x14ac:dyDescent="0.2">
      <c r="F826" s="31"/>
      <c r="G826" s="31"/>
      <c r="H826" s="31"/>
    </row>
    <row r="827" spans="6:8" ht="12.75" customHeight="1" x14ac:dyDescent="0.2">
      <c r="F827" s="31"/>
      <c r="G827" s="31"/>
      <c r="H827" s="31"/>
    </row>
    <row r="828" spans="6:8" ht="12.75" customHeight="1" x14ac:dyDescent="0.2">
      <c r="F828" s="31"/>
      <c r="G828" s="31"/>
      <c r="H828" s="31"/>
    </row>
    <row r="829" spans="6:8" ht="12.75" customHeight="1" x14ac:dyDescent="0.2">
      <c r="F829" s="31"/>
      <c r="G829" s="31"/>
      <c r="H829" s="31"/>
    </row>
    <row r="830" spans="6:8" ht="12.75" customHeight="1" x14ac:dyDescent="0.2">
      <c r="F830" s="31"/>
      <c r="G830" s="31"/>
      <c r="H830" s="31"/>
    </row>
    <row r="831" spans="6:8" ht="12.75" customHeight="1" x14ac:dyDescent="0.2">
      <c r="F831" s="31"/>
      <c r="G831" s="31"/>
      <c r="H831" s="31"/>
    </row>
    <row r="832" spans="6:8" ht="12.75" customHeight="1" x14ac:dyDescent="0.2">
      <c r="F832" s="31"/>
      <c r="G832" s="31"/>
      <c r="H832" s="31"/>
    </row>
    <row r="833" spans="6:8" ht="12.75" customHeight="1" x14ac:dyDescent="0.2">
      <c r="F833" s="31"/>
      <c r="G833" s="31"/>
      <c r="H833" s="31"/>
    </row>
    <row r="834" spans="6:8" ht="12.75" customHeight="1" x14ac:dyDescent="0.2">
      <c r="F834" s="31"/>
      <c r="G834" s="31"/>
      <c r="H834" s="31"/>
    </row>
    <row r="835" spans="6:8" ht="12.75" customHeight="1" x14ac:dyDescent="0.2">
      <c r="F835" s="31"/>
      <c r="G835" s="31"/>
      <c r="H835" s="31"/>
    </row>
    <row r="836" spans="6:8" ht="12.75" customHeight="1" x14ac:dyDescent="0.2">
      <c r="F836" s="31"/>
      <c r="G836" s="31"/>
      <c r="H836" s="31"/>
    </row>
    <row r="837" spans="6:8" ht="12.75" customHeight="1" x14ac:dyDescent="0.2">
      <c r="F837" s="31"/>
      <c r="G837" s="31"/>
      <c r="H837" s="31"/>
    </row>
    <row r="838" spans="6:8" ht="12.75" customHeight="1" x14ac:dyDescent="0.2">
      <c r="F838" s="31"/>
      <c r="G838" s="31"/>
      <c r="H838" s="31"/>
    </row>
    <row r="839" spans="6:8" ht="12.75" customHeight="1" x14ac:dyDescent="0.2">
      <c r="F839" s="31"/>
      <c r="G839" s="31"/>
      <c r="H839" s="31"/>
    </row>
    <row r="840" spans="6:8" ht="12.75" customHeight="1" x14ac:dyDescent="0.2">
      <c r="F840" s="31"/>
      <c r="G840" s="31"/>
      <c r="H840" s="31"/>
    </row>
    <row r="841" spans="6:8" ht="12.75" customHeight="1" x14ac:dyDescent="0.2">
      <c r="F841" s="31"/>
      <c r="G841" s="31"/>
      <c r="H841" s="31"/>
    </row>
    <row r="842" spans="6:8" ht="12.75" customHeight="1" x14ac:dyDescent="0.2">
      <c r="F842" s="31"/>
      <c r="G842" s="31"/>
      <c r="H842" s="31"/>
    </row>
    <row r="843" spans="6:8" ht="12.75" customHeight="1" x14ac:dyDescent="0.2">
      <c r="F843" s="31"/>
      <c r="G843" s="31"/>
      <c r="H843" s="31"/>
    </row>
    <row r="844" spans="6:8" ht="12.75" customHeight="1" x14ac:dyDescent="0.2">
      <c r="F844" s="31"/>
      <c r="G844" s="31"/>
      <c r="H844" s="31"/>
    </row>
    <row r="845" spans="6:8" ht="12.75" customHeight="1" x14ac:dyDescent="0.2">
      <c r="F845" s="31"/>
      <c r="G845" s="31"/>
      <c r="H845" s="31"/>
    </row>
    <row r="846" spans="6:8" ht="12.75" customHeight="1" x14ac:dyDescent="0.2">
      <c r="F846" s="31"/>
      <c r="G846" s="31"/>
      <c r="H846" s="31"/>
    </row>
    <row r="847" spans="6:8" ht="12.75" customHeight="1" x14ac:dyDescent="0.2">
      <c r="F847" s="31"/>
      <c r="G847" s="31"/>
      <c r="H847" s="31"/>
    </row>
    <row r="848" spans="6:8" ht="12.75" customHeight="1" x14ac:dyDescent="0.2">
      <c r="F848" s="31"/>
      <c r="G848" s="31"/>
      <c r="H848" s="31"/>
    </row>
    <row r="849" spans="6:8" ht="12.75" customHeight="1" x14ac:dyDescent="0.2">
      <c r="F849" s="31"/>
      <c r="G849" s="31"/>
      <c r="H849" s="31"/>
    </row>
    <row r="850" spans="6:8" ht="12.75" customHeight="1" x14ac:dyDescent="0.2">
      <c r="F850" s="31"/>
      <c r="G850" s="31"/>
      <c r="H850" s="31"/>
    </row>
    <row r="851" spans="6:8" ht="12.75" customHeight="1" x14ac:dyDescent="0.2">
      <c r="F851" s="31"/>
      <c r="G851" s="31"/>
      <c r="H851" s="31"/>
    </row>
    <row r="852" spans="6:8" ht="12.75" customHeight="1" x14ac:dyDescent="0.2">
      <c r="F852" s="31"/>
      <c r="G852" s="31"/>
      <c r="H852" s="31"/>
    </row>
    <row r="853" spans="6:8" ht="12.75" customHeight="1" x14ac:dyDescent="0.2">
      <c r="F853" s="31"/>
      <c r="G853" s="31"/>
      <c r="H853" s="31"/>
    </row>
    <row r="854" spans="6:8" ht="12.75" customHeight="1" x14ac:dyDescent="0.2">
      <c r="F854" s="31"/>
      <c r="G854" s="31"/>
      <c r="H854" s="31"/>
    </row>
    <row r="855" spans="6:8" ht="12.75" customHeight="1" x14ac:dyDescent="0.2">
      <c r="F855" s="31"/>
      <c r="G855" s="31"/>
      <c r="H855" s="31"/>
    </row>
    <row r="856" spans="6:8" ht="12.75" customHeight="1" x14ac:dyDescent="0.2">
      <c r="F856" s="31"/>
      <c r="G856" s="31"/>
      <c r="H856" s="31"/>
    </row>
    <row r="857" spans="6:8" ht="12.75" customHeight="1" x14ac:dyDescent="0.2">
      <c r="F857" s="31"/>
      <c r="G857" s="31"/>
      <c r="H857" s="31"/>
    </row>
    <row r="858" spans="6:8" ht="12.75" customHeight="1" x14ac:dyDescent="0.2">
      <c r="F858" s="31"/>
      <c r="G858" s="31"/>
      <c r="H858" s="31"/>
    </row>
    <row r="859" spans="6:8" ht="12.75" customHeight="1" x14ac:dyDescent="0.2">
      <c r="F859" s="31"/>
      <c r="G859" s="31"/>
      <c r="H859" s="31"/>
    </row>
    <row r="860" spans="6:8" ht="12.75" customHeight="1" x14ac:dyDescent="0.2">
      <c r="F860" s="31"/>
      <c r="G860" s="31"/>
      <c r="H860" s="31"/>
    </row>
    <row r="861" spans="6:8" ht="12.75" customHeight="1" x14ac:dyDescent="0.2">
      <c r="F861" s="31"/>
      <c r="G861" s="31"/>
      <c r="H861" s="31"/>
    </row>
    <row r="862" spans="6:8" ht="12.75" customHeight="1" x14ac:dyDescent="0.2">
      <c r="F862" s="31"/>
      <c r="G862" s="31"/>
      <c r="H862" s="31"/>
    </row>
    <row r="863" spans="6:8" ht="12.75" customHeight="1" x14ac:dyDescent="0.2">
      <c r="F863" s="31"/>
      <c r="G863" s="31"/>
      <c r="H863" s="31"/>
    </row>
    <row r="864" spans="6:8" ht="12.75" customHeight="1" x14ac:dyDescent="0.2">
      <c r="F864" s="31"/>
      <c r="G864" s="31"/>
      <c r="H864" s="31"/>
    </row>
    <row r="865" spans="6:8" ht="12.75" customHeight="1" x14ac:dyDescent="0.2">
      <c r="F865" s="31"/>
      <c r="G865" s="31"/>
      <c r="H865" s="31"/>
    </row>
    <row r="866" spans="6:8" ht="12.75" customHeight="1" x14ac:dyDescent="0.2">
      <c r="F866" s="31"/>
      <c r="G866" s="31"/>
      <c r="H866" s="31"/>
    </row>
    <row r="867" spans="6:8" ht="12.75" customHeight="1" x14ac:dyDescent="0.2">
      <c r="F867" s="31"/>
      <c r="G867" s="31"/>
      <c r="H867" s="31"/>
    </row>
    <row r="868" spans="6:8" ht="12.75" customHeight="1" x14ac:dyDescent="0.2">
      <c r="F868" s="31"/>
      <c r="G868" s="31"/>
      <c r="H868" s="31"/>
    </row>
    <row r="869" spans="6:8" ht="12.75" customHeight="1" x14ac:dyDescent="0.2">
      <c r="F869" s="31"/>
      <c r="G869" s="31"/>
      <c r="H869" s="31"/>
    </row>
    <row r="870" spans="6:8" ht="12.75" customHeight="1" x14ac:dyDescent="0.2">
      <c r="F870" s="31"/>
      <c r="G870" s="31"/>
      <c r="H870" s="31"/>
    </row>
    <row r="871" spans="6:8" ht="12.75" customHeight="1" x14ac:dyDescent="0.2">
      <c r="F871" s="31"/>
      <c r="G871" s="31"/>
      <c r="H871" s="31"/>
    </row>
    <row r="872" spans="6:8" ht="12.75" customHeight="1" x14ac:dyDescent="0.2">
      <c r="F872" s="31"/>
      <c r="G872" s="31"/>
      <c r="H872" s="31"/>
    </row>
    <row r="873" spans="6:8" ht="12.75" customHeight="1" x14ac:dyDescent="0.2">
      <c r="F873" s="31"/>
      <c r="G873" s="31"/>
      <c r="H873" s="31"/>
    </row>
    <row r="874" spans="6:8" ht="12.75" customHeight="1" x14ac:dyDescent="0.2">
      <c r="F874" s="31"/>
      <c r="G874" s="31"/>
      <c r="H874" s="31"/>
    </row>
    <row r="875" spans="6:8" ht="12.75" customHeight="1" x14ac:dyDescent="0.2">
      <c r="F875" s="31"/>
      <c r="G875" s="31"/>
      <c r="H875" s="31"/>
    </row>
    <row r="876" spans="6:8" ht="12.75" customHeight="1" x14ac:dyDescent="0.2">
      <c r="F876" s="31"/>
      <c r="G876" s="31"/>
      <c r="H876" s="31"/>
    </row>
    <row r="877" spans="6:8" ht="12.75" customHeight="1" x14ac:dyDescent="0.2">
      <c r="F877" s="31"/>
      <c r="G877" s="31"/>
      <c r="H877" s="31"/>
    </row>
    <row r="878" spans="6:8" ht="12.75" customHeight="1" x14ac:dyDescent="0.2">
      <c r="F878" s="31"/>
      <c r="G878" s="31"/>
      <c r="H878" s="31"/>
    </row>
    <row r="879" spans="6:8" ht="12.75" customHeight="1" x14ac:dyDescent="0.2">
      <c r="F879" s="31"/>
      <c r="G879" s="31"/>
      <c r="H879" s="31"/>
    </row>
    <row r="880" spans="6:8" ht="12.75" customHeight="1" x14ac:dyDescent="0.2">
      <c r="F880" s="31"/>
      <c r="G880" s="31"/>
      <c r="H880" s="31"/>
    </row>
    <row r="881" spans="6:8" ht="12.75" customHeight="1" x14ac:dyDescent="0.2">
      <c r="F881" s="31"/>
      <c r="G881" s="31"/>
      <c r="H881" s="31"/>
    </row>
    <row r="882" spans="6:8" ht="12.75" customHeight="1" x14ac:dyDescent="0.2">
      <c r="F882" s="31"/>
      <c r="G882" s="31"/>
      <c r="H882" s="31"/>
    </row>
    <row r="883" spans="6:8" ht="12.75" customHeight="1" x14ac:dyDescent="0.2">
      <c r="F883" s="31"/>
      <c r="G883" s="31"/>
      <c r="H883" s="31"/>
    </row>
    <row r="884" spans="6:8" ht="12.75" customHeight="1" x14ac:dyDescent="0.2">
      <c r="F884" s="31"/>
      <c r="G884" s="31"/>
      <c r="H884" s="31"/>
    </row>
    <row r="885" spans="6:8" ht="12.75" customHeight="1" x14ac:dyDescent="0.2">
      <c r="F885" s="31"/>
      <c r="G885" s="31"/>
      <c r="H885" s="31"/>
    </row>
    <row r="886" spans="6:8" ht="12.75" customHeight="1" x14ac:dyDescent="0.2">
      <c r="F886" s="31"/>
      <c r="G886" s="31"/>
      <c r="H886" s="31"/>
    </row>
    <row r="887" spans="6:8" ht="12.75" customHeight="1" x14ac:dyDescent="0.2">
      <c r="F887" s="31"/>
      <c r="G887" s="31"/>
      <c r="H887" s="31"/>
    </row>
    <row r="888" spans="6:8" ht="12.75" customHeight="1" x14ac:dyDescent="0.2">
      <c r="F888" s="31"/>
      <c r="G888" s="31"/>
      <c r="H888" s="31"/>
    </row>
    <row r="889" spans="6:8" ht="12.75" customHeight="1" x14ac:dyDescent="0.2">
      <c r="F889" s="31"/>
      <c r="G889" s="31"/>
      <c r="H889" s="31"/>
    </row>
    <row r="890" spans="6:8" ht="12.75" customHeight="1" x14ac:dyDescent="0.2">
      <c r="F890" s="31"/>
      <c r="G890" s="31"/>
      <c r="H890" s="31"/>
    </row>
    <row r="891" spans="6:8" ht="12.75" customHeight="1" x14ac:dyDescent="0.2">
      <c r="F891" s="31"/>
      <c r="G891" s="31"/>
      <c r="H891" s="31"/>
    </row>
    <row r="892" spans="6:8" ht="12.75" customHeight="1" x14ac:dyDescent="0.2">
      <c r="F892" s="31"/>
      <c r="G892" s="31"/>
      <c r="H892" s="31"/>
    </row>
    <row r="893" spans="6:8" ht="12.75" customHeight="1" x14ac:dyDescent="0.2">
      <c r="F893" s="31"/>
      <c r="G893" s="31"/>
      <c r="H893" s="31"/>
    </row>
    <row r="894" spans="6:8" ht="12.75" customHeight="1" x14ac:dyDescent="0.2">
      <c r="F894" s="31"/>
      <c r="G894" s="31"/>
      <c r="H894" s="31"/>
    </row>
    <row r="895" spans="6:8" ht="12.75" customHeight="1" x14ac:dyDescent="0.2">
      <c r="F895" s="31"/>
      <c r="G895" s="31"/>
      <c r="H895" s="31"/>
    </row>
    <row r="896" spans="6:8" ht="12.75" customHeight="1" x14ac:dyDescent="0.2">
      <c r="F896" s="31"/>
      <c r="G896" s="31"/>
      <c r="H896" s="31"/>
    </row>
    <row r="897" spans="6:8" ht="12.75" customHeight="1" x14ac:dyDescent="0.2">
      <c r="F897" s="31"/>
      <c r="G897" s="31"/>
      <c r="H897" s="31"/>
    </row>
    <row r="898" spans="6:8" ht="12.75" customHeight="1" x14ac:dyDescent="0.2">
      <c r="F898" s="31"/>
      <c r="G898" s="31"/>
      <c r="H898" s="31"/>
    </row>
    <row r="899" spans="6:8" ht="12.75" customHeight="1" x14ac:dyDescent="0.2">
      <c r="F899" s="31"/>
      <c r="G899" s="31"/>
      <c r="H899" s="31"/>
    </row>
    <row r="900" spans="6:8" ht="12.75" customHeight="1" x14ac:dyDescent="0.2">
      <c r="F900" s="31"/>
      <c r="G900" s="31"/>
      <c r="H900" s="31"/>
    </row>
    <row r="901" spans="6:8" ht="12.75" customHeight="1" x14ac:dyDescent="0.2">
      <c r="F901" s="31"/>
      <c r="G901" s="31"/>
      <c r="H901" s="31"/>
    </row>
    <row r="902" spans="6:8" ht="12.75" customHeight="1" x14ac:dyDescent="0.2">
      <c r="F902" s="31"/>
      <c r="G902" s="31"/>
      <c r="H902" s="31"/>
    </row>
    <row r="903" spans="6:8" ht="12.75" customHeight="1" x14ac:dyDescent="0.2">
      <c r="F903" s="31"/>
      <c r="G903" s="31"/>
      <c r="H903" s="31"/>
    </row>
    <row r="904" spans="6:8" ht="12.75" customHeight="1" x14ac:dyDescent="0.2">
      <c r="F904" s="31"/>
      <c r="G904" s="31"/>
      <c r="H904" s="31"/>
    </row>
    <row r="905" spans="6:8" ht="12.75" customHeight="1" x14ac:dyDescent="0.2">
      <c r="F905" s="31"/>
      <c r="G905" s="31"/>
      <c r="H905" s="31"/>
    </row>
    <row r="906" spans="6:8" ht="12.75" customHeight="1" x14ac:dyDescent="0.2">
      <c r="F906" s="31"/>
      <c r="G906" s="31"/>
      <c r="H906" s="31"/>
    </row>
    <row r="907" spans="6:8" ht="12.75" customHeight="1" x14ac:dyDescent="0.2">
      <c r="F907" s="31"/>
      <c r="G907" s="31"/>
      <c r="H907" s="31"/>
    </row>
    <row r="908" spans="6:8" ht="12.75" customHeight="1" x14ac:dyDescent="0.2">
      <c r="F908" s="31"/>
      <c r="G908" s="31"/>
      <c r="H908" s="31"/>
    </row>
    <row r="909" spans="6:8" ht="12.75" customHeight="1" x14ac:dyDescent="0.2">
      <c r="F909" s="31"/>
      <c r="G909" s="31"/>
      <c r="H909" s="31"/>
    </row>
    <row r="910" spans="6:8" ht="12.75" customHeight="1" x14ac:dyDescent="0.2">
      <c r="F910" s="31"/>
      <c r="G910" s="31"/>
      <c r="H910" s="31"/>
    </row>
    <row r="911" spans="6:8" ht="12.75" customHeight="1" x14ac:dyDescent="0.2">
      <c r="F911" s="31"/>
      <c r="G911" s="31"/>
      <c r="H911" s="31"/>
    </row>
    <row r="912" spans="6:8" ht="12.75" customHeight="1" x14ac:dyDescent="0.2">
      <c r="F912" s="31"/>
      <c r="G912" s="31"/>
      <c r="H912" s="31"/>
    </row>
    <row r="913" spans="6:8" ht="12.75" customHeight="1" x14ac:dyDescent="0.2">
      <c r="F913" s="31"/>
      <c r="G913" s="31"/>
      <c r="H913" s="31"/>
    </row>
    <row r="914" spans="6:8" ht="12.75" customHeight="1" x14ac:dyDescent="0.2">
      <c r="F914" s="31"/>
      <c r="G914" s="31"/>
      <c r="H914" s="31"/>
    </row>
    <row r="915" spans="6:8" ht="12.75" customHeight="1" x14ac:dyDescent="0.2">
      <c r="F915" s="31"/>
      <c r="G915" s="31"/>
      <c r="H915" s="31"/>
    </row>
    <row r="916" spans="6:8" ht="12.75" customHeight="1" x14ac:dyDescent="0.2">
      <c r="F916" s="31"/>
      <c r="G916" s="31"/>
      <c r="H916" s="31"/>
    </row>
    <row r="917" spans="6:8" ht="12.75" customHeight="1" x14ac:dyDescent="0.2">
      <c r="F917" s="31"/>
      <c r="G917" s="31"/>
      <c r="H917" s="31"/>
    </row>
    <row r="918" spans="6:8" ht="12.75" customHeight="1" x14ac:dyDescent="0.2">
      <c r="F918" s="31"/>
      <c r="G918" s="31"/>
      <c r="H918" s="31"/>
    </row>
    <row r="919" spans="6:8" ht="12.75" customHeight="1" x14ac:dyDescent="0.2">
      <c r="F919" s="31"/>
      <c r="G919" s="31"/>
      <c r="H919" s="31"/>
    </row>
    <row r="920" spans="6:8" ht="12.75" customHeight="1" x14ac:dyDescent="0.2">
      <c r="F920" s="31"/>
      <c r="G920" s="31"/>
      <c r="H920" s="31"/>
    </row>
    <row r="921" spans="6:8" ht="12.75" customHeight="1" x14ac:dyDescent="0.2">
      <c r="F921" s="31"/>
      <c r="G921" s="31"/>
      <c r="H921" s="31"/>
    </row>
    <row r="922" spans="6:8" ht="12.75" customHeight="1" x14ac:dyDescent="0.2">
      <c r="F922" s="31"/>
      <c r="G922" s="31"/>
      <c r="H922" s="31"/>
    </row>
    <row r="923" spans="6:8" ht="12.75" customHeight="1" x14ac:dyDescent="0.2">
      <c r="F923" s="31"/>
      <c r="G923" s="31"/>
      <c r="H923" s="31"/>
    </row>
    <row r="924" spans="6:8" ht="12.75" customHeight="1" x14ac:dyDescent="0.2">
      <c r="F924" s="31"/>
      <c r="G924" s="31"/>
      <c r="H924" s="31"/>
    </row>
    <row r="925" spans="6:8" ht="12.75" customHeight="1" x14ac:dyDescent="0.2">
      <c r="F925" s="31"/>
      <c r="G925" s="31"/>
      <c r="H925" s="31"/>
    </row>
    <row r="926" spans="6:8" ht="12.75" customHeight="1" x14ac:dyDescent="0.2">
      <c r="F926" s="31"/>
      <c r="G926" s="31"/>
      <c r="H926" s="31"/>
    </row>
    <row r="927" spans="6:8" ht="12.75" customHeight="1" x14ac:dyDescent="0.2">
      <c r="F927" s="31"/>
      <c r="G927" s="31"/>
      <c r="H927" s="31"/>
    </row>
    <row r="928" spans="6:8" ht="12.75" customHeight="1" x14ac:dyDescent="0.2">
      <c r="F928" s="31"/>
      <c r="G928" s="31"/>
      <c r="H928" s="31"/>
    </row>
    <row r="929" spans="6:8" ht="12.75" customHeight="1" x14ac:dyDescent="0.2">
      <c r="F929" s="31"/>
      <c r="G929" s="31"/>
      <c r="H929" s="31"/>
    </row>
    <row r="930" spans="6:8" ht="12.75" customHeight="1" x14ac:dyDescent="0.2">
      <c r="F930" s="31"/>
      <c r="G930" s="31"/>
      <c r="H930" s="31"/>
    </row>
    <row r="931" spans="6:8" ht="12.75" customHeight="1" x14ac:dyDescent="0.2">
      <c r="F931" s="31"/>
      <c r="G931" s="31"/>
      <c r="H931" s="31"/>
    </row>
    <row r="932" spans="6:8" ht="12.75" customHeight="1" x14ac:dyDescent="0.2">
      <c r="F932" s="31"/>
      <c r="G932" s="31"/>
      <c r="H932" s="31"/>
    </row>
    <row r="933" spans="6:8" ht="12.75" customHeight="1" x14ac:dyDescent="0.2">
      <c r="F933" s="31"/>
      <c r="G933" s="31"/>
      <c r="H933" s="31"/>
    </row>
    <row r="934" spans="6:8" ht="12.75" customHeight="1" x14ac:dyDescent="0.2">
      <c r="F934" s="31"/>
      <c r="G934" s="31"/>
      <c r="H934" s="31"/>
    </row>
    <row r="935" spans="6:8" ht="12.75" customHeight="1" x14ac:dyDescent="0.2">
      <c r="F935" s="31"/>
      <c r="G935" s="31"/>
      <c r="H935" s="31"/>
    </row>
    <row r="936" spans="6:8" ht="12.75" customHeight="1" x14ac:dyDescent="0.2">
      <c r="F936" s="31"/>
      <c r="G936" s="31"/>
      <c r="H936" s="31"/>
    </row>
    <row r="937" spans="6:8" ht="12.75" customHeight="1" x14ac:dyDescent="0.2">
      <c r="F937" s="31"/>
      <c r="G937" s="31"/>
      <c r="H937" s="31"/>
    </row>
    <row r="938" spans="6:8" ht="12.75" customHeight="1" x14ac:dyDescent="0.2">
      <c r="F938" s="31"/>
      <c r="G938" s="31"/>
      <c r="H938" s="31"/>
    </row>
    <row r="939" spans="6:8" ht="12.75" customHeight="1" x14ac:dyDescent="0.2">
      <c r="F939" s="31"/>
      <c r="G939" s="31"/>
      <c r="H939" s="31"/>
    </row>
    <row r="940" spans="6:8" ht="12.75" customHeight="1" x14ac:dyDescent="0.2">
      <c r="F940" s="31"/>
      <c r="G940" s="31"/>
      <c r="H940" s="31"/>
    </row>
    <row r="941" spans="6:8" ht="12.75" customHeight="1" x14ac:dyDescent="0.2">
      <c r="F941" s="31"/>
      <c r="G941" s="31"/>
      <c r="H941" s="31"/>
    </row>
    <row r="942" spans="6:8" ht="12.75" customHeight="1" x14ac:dyDescent="0.2">
      <c r="F942" s="31"/>
      <c r="G942" s="31"/>
      <c r="H942" s="31"/>
    </row>
    <row r="943" spans="6:8" ht="12.75" customHeight="1" x14ac:dyDescent="0.2">
      <c r="F943" s="31"/>
      <c r="G943" s="31"/>
      <c r="H943" s="31"/>
    </row>
    <row r="944" spans="6:8" ht="12.75" customHeight="1" x14ac:dyDescent="0.2">
      <c r="F944" s="31"/>
      <c r="G944" s="31"/>
      <c r="H944" s="31"/>
    </row>
    <row r="945" spans="6:8" ht="12.75" customHeight="1" x14ac:dyDescent="0.2">
      <c r="F945" s="31"/>
      <c r="G945" s="31"/>
      <c r="H945" s="31"/>
    </row>
    <row r="946" spans="6:8" ht="12.75" customHeight="1" x14ac:dyDescent="0.2">
      <c r="F946" s="31"/>
      <c r="G946" s="31"/>
      <c r="H946" s="31"/>
    </row>
    <row r="947" spans="6:8" ht="12.75" customHeight="1" x14ac:dyDescent="0.2">
      <c r="F947" s="31"/>
      <c r="G947" s="31"/>
      <c r="H947" s="31"/>
    </row>
    <row r="948" spans="6:8" ht="12.75" customHeight="1" x14ac:dyDescent="0.2">
      <c r="F948" s="31"/>
      <c r="G948" s="31"/>
      <c r="H948" s="31"/>
    </row>
    <row r="949" spans="6:8" ht="12.75" customHeight="1" x14ac:dyDescent="0.2">
      <c r="F949" s="31"/>
      <c r="G949" s="31"/>
      <c r="H949" s="31"/>
    </row>
    <row r="950" spans="6:8" ht="12.75" customHeight="1" x14ac:dyDescent="0.2">
      <c r="F950" s="31"/>
      <c r="G950" s="31"/>
      <c r="H950" s="31"/>
    </row>
    <row r="951" spans="6:8" ht="12.75" customHeight="1" x14ac:dyDescent="0.2">
      <c r="F951" s="31"/>
      <c r="G951" s="31"/>
      <c r="H951" s="31"/>
    </row>
    <row r="952" spans="6:8" ht="12.75" customHeight="1" x14ac:dyDescent="0.2">
      <c r="F952" s="31"/>
      <c r="G952" s="31"/>
      <c r="H952" s="31"/>
    </row>
    <row r="953" spans="6:8" ht="12.75" customHeight="1" x14ac:dyDescent="0.2">
      <c r="F953" s="31"/>
      <c r="G953" s="31"/>
      <c r="H953" s="31"/>
    </row>
    <row r="954" spans="6:8" ht="12.75" customHeight="1" x14ac:dyDescent="0.2">
      <c r="F954" s="31"/>
      <c r="G954" s="31"/>
      <c r="H954" s="31"/>
    </row>
    <row r="955" spans="6:8" ht="12.75" customHeight="1" x14ac:dyDescent="0.2">
      <c r="F955" s="31"/>
      <c r="G955" s="31"/>
      <c r="H955" s="31"/>
    </row>
    <row r="956" spans="6:8" ht="12.75" customHeight="1" x14ac:dyDescent="0.2">
      <c r="F956" s="31"/>
      <c r="G956" s="31"/>
      <c r="H956" s="31"/>
    </row>
    <row r="957" spans="6:8" ht="12.75" customHeight="1" x14ac:dyDescent="0.2">
      <c r="F957" s="31"/>
      <c r="G957" s="31"/>
      <c r="H957" s="31"/>
    </row>
    <row r="958" spans="6:8" ht="12.75" customHeight="1" x14ac:dyDescent="0.2">
      <c r="F958" s="31"/>
      <c r="G958" s="31"/>
      <c r="H958" s="31"/>
    </row>
    <row r="959" spans="6:8" ht="12.75" customHeight="1" x14ac:dyDescent="0.2">
      <c r="F959" s="31"/>
      <c r="G959" s="31"/>
      <c r="H959" s="31"/>
    </row>
    <row r="960" spans="6:8" ht="12.75" customHeight="1" x14ac:dyDescent="0.2">
      <c r="F960" s="31"/>
      <c r="G960" s="31"/>
      <c r="H960" s="31"/>
    </row>
    <row r="961" spans="6:8" ht="12.75" customHeight="1" x14ac:dyDescent="0.2">
      <c r="F961" s="31"/>
      <c r="G961" s="31"/>
      <c r="H961" s="31"/>
    </row>
    <row r="962" spans="6:8" ht="12.75" customHeight="1" x14ac:dyDescent="0.2">
      <c r="F962" s="31"/>
      <c r="G962" s="31"/>
      <c r="H962" s="31"/>
    </row>
    <row r="963" spans="6:8" ht="12.75" customHeight="1" x14ac:dyDescent="0.2">
      <c r="F963" s="31"/>
      <c r="G963" s="31"/>
      <c r="H963" s="31"/>
    </row>
    <row r="964" spans="6:8" ht="12.75" customHeight="1" x14ac:dyDescent="0.2">
      <c r="F964" s="31"/>
      <c r="G964" s="31"/>
      <c r="H964" s="31"/>
    </row>
    <row r="965" spans="6:8" ht="12.75" customHeight="1" x14ac:dyDescent="0.2">
      <c r="F965" s="31"/>
      <c r="G965" s="31"/>
      <c r="H965" s="31"/>
    </row>
    <row r="966" spans="6:8" ht="12.75" customHeight="1" x14ac:dyDescent="0.2">
      <c r="F966" s="31"/>
      <c r="G966" s="31"/>
      <c r="H966" s="31"/>
    </row>
    <row r="967" spans="6:8" ht="12.75" customHeight="1" x14ac:dyDescent="0.2">
      <c r="F967" s="31"/>
      <c r="G967" s="31"/>
      <c r="H967" s="31"/>
    </row>
    <row r="968" spans="6:8" ht="12.75" customHeight="1" x14ac:dyDescent="0.2">
      <c r="F968" s="31"/>
      <c r="G968" s="31"/>
      <c r="H968" s="31"/>
    </row>
    <row r="969" spans="6:8" ht="12.75" customHeight="1" x14ac:dyDescent="0.2">
      <c r="F969" s="31"/>
      <c r="G969" s="31"/>
      <c r="H969" s="31"/>
    </row>
    <row r="970" spans="6:8" ht="12.75" customHeight="1" x14ac:dyDescent="0.2">
      <c r="F970" s="31"/>
      <c r="G970" s="31"/>
      <c r="H970" s="31"/>
    </row>
    <row r="971" spans="6:8" ht="12.75" customHeight="1" x14ac:dyDescent="0.2">
      <c r="F971" s="31"/>
      <c r="G971" s="31"/>
      <c r="H971" s="31"/>
    </row>
    <row r="972" spans="6:8" ht="12.75" customHeight="1" x14ac:dyDescent="0.2">
      <c r="F972" s="31"/>
      <c r="G972" s="31"/>
      <c r="H972" s="31"/>
    </row>
    <row r="973" spans="6:8" ht="12.75" customHeight="1" x14ac:dyDescent="0.2">
      <c r="F973" s="31"/>
      <c r="G973" s="31"/>
      <c r="H973" s="31"/>
    </row>
    <row r="974" spans="6:8" ht="12.75" customHeight="1" x14ac:dyDescent="0.2">
      <c r="F974" s="31"/>
      <c r="G974" s="31"/>
      <c r="H974" s="31"/>
    </row>
    <row r="975" spans="6:8" ht="12.75" customHeight="1" x14ac:dyDescent="0.2">
      <c r="F975" s="31"/>
      <c r="G975" s="31"/>
      <c r="H975" s="31"/>
    </row>
    <row r="976" spans="6:8" ht="12.75" customHeight="1" x14ac:dyDescent="0.2">
      <c r="F976" s="31"/>
      <c r="G976" s="31"/>
      <c r="H976" s="31"/>
    </row>
    <row r="977" spans="6:8" ht="12.75" customHeight="1" x14ac:dyDescent="0.2">
      <c r="F977" s="31"/>
      <c r="G977" s="31"/>
      <c r="H977" s="31"/>
    </row>
    <row r="978" spans="6:8" ht="12.75" customHeight="1" x14ac:dyDescent="0.2">
      <c r="F978" s="31"/>
      <c r="G978" s="31"/>
      <c r="H978" s="31"/>
    </row>
    <row r="979" spans="6:8" ht="12.75" customHeight="1" x14ac:dyDescent="0.2">
      <c r="F979" s="31"/>
      <c r="G979" s="31"/>
      <c r="H979" s="31"/>
    </row>
    <row r="980" spans="6:8" ht="12.75" customHeight="1" x14ac:dyDescent="0.2">
      <c r="F980" s="31"/>
      <c r="G980" s="31"/>
      <c r="H980" s="31"/>
    </row>
    <row r="981" spans="6:8" ht="12.75" customHeight="1" x14ac:dyDescent="0.2">
      <c r="F981" s="31"/>
      <c r="G981" s="31"/>
      <c r="H981" s="31"/>
    </row>
    <row r="982" spans="6:8" ht="12.75" customHeight="1" x14ac:dyDescent="0.2">
      <c r="F982" s="31"/>
      <c r="G982" s="31"/>
      <c r="H982" s="31"/>
    </row>
    <row r="983" spans="6:8" ht="12.75" customHeight="1" x14ac:dyDescent="0.2">
      <c r="F983" s="31"/>
      <c r="G983" s="31"/>
      <c r="H983" s="31"/>
    </row>
    <row r="984" spans="6:8" ht="12.75" customHeight="1" x14ac:dyDescent="0.2">
      <c r="F984" s="31"/>
      <c r="G984" s="31"/>
      <c r="H984" s="31"/>
    </row>
    <row r="985" spans="6:8" ht="12.75" customHeight="1" x14ac:dyDescent="0.2">
      <c r="F985" s="31"/>
      <c r="G985" s="31"/>
      <c r="H985" s="31"/>
    </row>
    <row r="986" spans="6:8" ht="12.75" customHeight="1" x14ac:dyDescent="0.2">
      <c r="F986" s="31"/>
      <c r="G986" s="31"/>
      <c r="H986" s="31"/>
    </row>
    <row r="987" spans="6:8" ht="12.75" customHeight="1" x14ac:dyDescent="0.2">
      <c r="F987" s="31"/>
      <c r="G987" s="31"/>
      <c r="H987" s="31"/>
    </row>
    <row r="988" spans="6:8" ht="12.75" customHeight="1" x14ac:dyDescent="0.2">
      <c r="F988" s="31"/>
      <c r="G988" s="31"/>
      <c r="H988" s="31"/>
    </row>
    <row r="989" spans="6:8" ht="12.75" customHeight="1" x14ac:dyDescent="0.2">
      <c r="F989" s="31"/>
      <c r="G989" s="31"/>
      <c r="H989" s="31"/>
    </row>
    <row r="990" spans="6:8" ht="12.75" customHeight="1" x14ac:dyDescent="0.2">
      <c r="F990" s="31"/>
      <c r="G990" s="31"/>
      <c r="H990" s="31"/>
    </row>
    <row r="991" spans="6:8" ht="12.75" customHeight="1" x14ac:dyDescent="0.2">
      <c r="F991" s="31"/>
      <c r="G991" s="31"/>
      <c r="H991" s="31"/>
    </row>
    <row r="992" spans="6:8" ht="12.75" customHeight="1" x14ac:dyDescent="0.2">
      <c r="F992" s="31"/>
      <c r="G992" s="31"/>
      <c r="H992" s="31"/>
    </row>
    <row r="993" spans="6:8" ht="12.75" customHeight="1" x14ac:dyDescent="0.2">
      <c r="F993" s="31"/>
      <c r="G993" s="31"/>
      <c r="H993" s="31"/>
    </row>
    <row r="994" spans="6:8" ht="12.75" customHeight="1" x14ac:dyDescent="0.2">
      <c r="F994" s="31"/>
      <c r="G994" s="31"/>
      <c r="H994" s="31"/>
    </row>
    <row r="995" spans="6:8" ht="12.75" customHeight="1" x14ac:dyDescent="0.2">
      <c r="F995" s="31"/>
      <c r="G995" s="31"/>
      <c r="H995" s="31"/>
    </row>
    <row r="996" spans="6:8" ht="12.75" customHeight="1" x14ac:dyDescent="0.2">
      <c r="F996" s="31"/>
      <c r="G996" s="31"/>
      <c r="H996" s="31"/>
    </row>
    <row r="997" spans="6:8" ht="12.75" customHeight="1" x14ac:dyDescent="0.2">
      <c r="F997" s="31"/>
      <c r="G997" s="31"/>
      <c r="H997" s="31"/>
    </row>
    <row r="998" spans="6:8" ht="12.75" customHeight="1" x14ac:dyDescent="0.2">
      <c r="F998" s="31"/>
      <c r="G998" s="31"/>
      <c r="H998" s="31"/>
    </row>
    <row r="999" spans="6:8" ht="12.75" customHeight="1" x14ac:dyDescent="0.2">
      <c r="F999" s="31"/>
      <c r="G999" s="31"/>
      <c r="H999" s="31"/>
    </row>
    <row r="1000" spans="6:8" ht="12.75" customHeight="1" x14ac:dyDescent="0.2">
      <c r="F1000" s="31"/>
      <c r="G1000" s="31"/>
      <c r="H1000" s="31"/>
    </row>
    <row r="1001" spans="6:8" ht="12.75" customHeight="1" x14ac:dyDescent="0.2">
      <c r="F1001" s="31"/>
      <c r="G1001" s="31"/>
      <c r="H1001" s="31"/>
    </row>
    <row r="1002" spans="6:8" ht="12.75" customHeight="1" x14ac:dyDescent="0.2">
      <c r="F1002" s="31"/>
      <c r="G1002" s="31"/>
      <c r="H1002" s="31"/>
    </row>
  </sheetData>
  <dataValidations count="1">
    <dataValidation type="list" allowBlank="1" showErrorMessage="1" sqref="F1" xr:uid="{00000000-0002-0000-0700-000001000000}">
      <formula1>Years</formula1>
    </dataValidation>
  </dataValidations>
  <pageMargins left="0.75" right="0.75" top="1" bottom="1" header="0" footer="0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S1001"/>
  <sheetViews>
    <sheetView workbookViewId="0">
      <pane xSplit="3" ySplit="4" topLeftCell="D86" activePane="bottomRight" state="frozen"/>
      <selection activeCell="C2" sqref="C2"/>
      <selection pane="topRight" activeCell="C2" sqref="C2"/>
      <selection pane="bottomLeft" activeCell="C2" sqref="C2"/>
      <selection pane="bottomRight" activeCell="L4" sqref="L4"/>
    </sheetView>
  </sheetViews>
  <sheetFormatPr defaultColWidth="12.5703125" defaultRowHeight="15" customHeight="1" x14ac:dyDescent="0.2"/>
  <cols>
    <col min="1" max="1" width="6.140625" customWidth="1"/>
    <col min="2" max="2" width="8.5703125" customWidth="1"/>
    <col min="3" max="3" width="9.42578125" customWidth="1"/>
    <col min="4" max="4" width="10.140625" style="74" customWidth="1"/>
    <col min="5" max="5" width="36.28515625" customWidth="1"/>
    <col min="6" max="6" width="13.42578125" customWidth="1"/>
    <col min="7" max="8" width="14.7109375" customWidth="1"/>
    <col min="9" max="9" width="14.140625" bestFit="1" customWidth="1"/>
    <col min="10" max="10" width="10.140625" customWidth="1"/>
    <col min="11" max="11" width="14.140625" customWidth="1"/>
    <col min="12" max="12" width="12" customWidth="1"/>
    <col min="13" max="13" width="14.85546875" customWidth="1"/>
    <col min="14" max="14" width="12.28515625" customWidth="1"/>
    <col min="15" max="26" width="8.5703125" customWidth="1"/>
  </cols>
  <sheetData>
    <row r="1" spans="1:15" ht="12.75" customHeight="1" x14ac:dyDescent="0.2">
      <c r="A1" s="43"/>
      <c r="B1" s="43"/>
      <c r="C1" s="43"/>
      <c r="D1" s="70" t="s">
        <v>107</v>
      </c>
      <c r="E1" s="50" t="s">
        <v>117</v>
      </c>
      <c r="F1" s="40"/>
      <c r="G1" s="40" t="s">
        <v>104</v>
      </c>
      <c r="H1" s="41"/>
      <c r="I1" s="40"/>
      <c r="J1" s="40"/>
      <c r="K1" s="43"/>
      <c r="L1" s="43"/>
      <c r="M1" s="43"/>
      <c r="N1" s="43"/>
    </row>
    <row r="2" spans="1:15" ht="12.75" customHeight="1" x14ac:dyDescent="0.2">
      <c r="A2" s="43"/>
      <c r="B2" s="43"/>
      <c r="C2" s="43"/>
      <c r="D2" s="71" t="s">
        <v>114</v>
      </c>
      <c r="E2" s="50" t="s">
        <v>108</v>
      </c>
      <c r="F2" s="44"/>
      <c r="G2" s="40">
        <v>3</v>
      </c>
      <c r="H2" s="41"/>
      <c r="I2" s="40" t="s">
        <v>41</v>
      </c>
      <c r="J2" s="40" t="s">
        <v>712</v>
      </c>
      <c r="K2" s="50" t="s">
        <v>50</v>
      </c>
      <c r="L2" s="50" t="s">
        <v>704</v>
      </c>
      <c r="M2" s="43"/>
      <c r="N2" s="43"/>
    </row>
    <row r="3" spans="1:15" ht="12.75" customHeight="1" x14ac:dyDescent="0.25">
      <c r="A3" s="45">
        <f>COUNTIF(A5:A65448, "&lt;&gt;")</f>
        <v>88</v>
      </c>
      <c r="B3" s="43">
        <f>MAX(B5:B852)</f>
        <v>2023</v>
      </c>
      <c r="C3" s="43"/>
      <c r="D3" s="83" t="str" cm="1">
        <f t="array" ref="D3">INDEX(D5:D65447, A3)</f>
        <v>1/1/2023</v>
      </c>
      <c r="E3" s="59"/>
      <c r="F3" s="84"/>
      <c r="G3" s="85" t="s">
        <v>40</v>
      </c>
      <c r="H3" s="85" cm="1">
        <f t="array" ref="H3">INDEX(H5:H65447, A3)</f>
        <v>-2.7999999988423951E-3</v>
      </c>
      <c r="I3" s="86">
        <v>44247</v>
      </c>
      <c r="J3" s="64">
        <v>5</v>
      </c>
      <c r="K3" s="92">
        <v>35</v>
      </c>
      <c r="L3" s="92">
        <v>2125</v>
      </c>
      <c r="M3" s="43"/>
      <c r="N3" s="43"/>
    </row>
    <row r="4" spans="1:15" ht="12.75" customHeight="1" x14ac:dyDescent="0.2">
      <c r="A4" s="38" t="s">
        <v>42</v>
      </c>
      <c r="B4" s="38" t="s">
        <v>10</v>
      </c>
      <c r="C4" s="38" t="s">
        <v>54</v>
      </c>
      <c r="D4" s="72" t="s">
        <v>43</v>
      </c>
      <c r="E4" s="38" t="s">
        <v>44</v>
      </c>
      <c r="F4" s="42" t="s">
        <v>45</v>
      </c>
      <c r="G4" s="42" t="s">
        <v>46</v>
      </c>
      <c r="H4" s="42" t="s">
        <v>47</v>
      </c>
      <c r="I4" s="65" t="s">
        <v>676</v>
      </c>
      <c r="J4" s="64"/>
      <c r="K4" s="64"/>
      <c r="L4" s="61"/>
      <c r="M4" s="43"/>
      <c r="N4" s="43"/>
    </row>
    <row r="5" spans="1:15" ht="12.75" customHeight="1" x14ac:dyDescent="0.25">
      <c r="A5" s="53">
        <v>2</v>
      </c>
      <c r="B5" s="53">
        <v>2020</v>
      </c>
      <c r="C5" s="53" t="str">
        <f t="shared" ref="C5:C36" si="0">IFERROR("Late Fee "&amp;FIND("Late Fee",E5),IFERROR("Internet "&amp;FIND("Internet",E5),IFERROR("Utilities "&amp;FIND("Utilities",E5),IFERROR("Rent: "&amp;FIND("Rent",E5),IFERROR("Priv Tax: "&amp;FIND("Tax",E5),IFERROR("Income: "&amp;FIND("Payment",E5,1),""))))))</f>
        <v/>
      </c>
      <c r="D5" s="73" t="s">
        <v>503</v>
      </c>
      <c r="E5" s="56" t="s">
        <v>64</v>
      </c>
      <c r="F5" s="58">
        <v>0</v>
      </c>
      <c r="G5" s="58">
        <v>250</v>
      </c>
      <c r="H5" s="58">
        <f xml:space="preserve"> G5 - F5</f>
        <v>250</v>
      </c>
      <c r="I5" s="43">
        <v>3300</v>
      </c>
      <c r="J5" s="43"/>
      <c r="K5" s="43"/>
      <c r="L5" s="43"/>
      <c r="M5" s="43"/>
      <c r="N5" s="43"/>
    </row>
    <row r="6" spans="1:15" ht="12.75" customHeight="1" x14ac:dyDescent="0.25">
      <c r="A6" s="53">
        <v>2</v>
      </c>
      <c r="B6" s="53">
        <v>2020</v>
      </c>
      <c r="C6" s="53" t="str">
        <f t="shared" si="0"/>
        <v/>
      </c>
      <c r="D6" s="73" t="s">
        <v>503</v>
      </c>
      <c r="E6" s="56" t="s">
        <v>65</v>
      </c>
      <c r="F6" s="58">
        <v>0</v>
      </c>
      <c r="G6" s="58">
        <v>500</v>
      </c>
      <c r="H6" s="58">
        <f t="shared" ref="H6:H37" si="1" xml:space="preserve"> H5 + G6 - F6</f>
        <v>750</v>
      </c>
      <c r="I6" s="40">
        <v>3301</v>
      </c>
      <c r="J6" s="40"/>
      <c r="K6" s="40"/>
      <c r="L6" s="40"/>
      <c r="M6" s="43"/>
      <c r="N6" s="43"/>
    </row>
    <row r="7" spans="1:15" ht="12.75" customHeight="1" x14ac:dyDescent="0.25">
      <c r="A7" s="53">
        <v>2</v>
      </c>
      <c r="B7" s="53">
        <v>2020</v>
      </c>
      <c r="C7" s="53" t="str">
        <f t="shared" si="0"/>
        <v/>
      </c>
      <c r="D7" s="73" t="s">
        <v>503</v>
      </c>
      <c r="E7" s="56" t="s">
        <v>48</v>
      </c>
      <c r="F7" s="58">
        <v>0</v>
      </c>
      <c r="G7" s="58">
        <v>1699</v>
      </c>
      <c r="H7" s="58">
        <f t="shared" si="1"/>
        <v>2449</v>
      </c>
      <c r="I7" s="43">
        <v>3302</v>
      </c>
      <c r="J7" s="43"/>
      <c r="K7" s="43"/>
      <c r="L7" s="40"/>
      <c r="M7" s="41"/>
      <c r="N7" s="41"/>
    </row>
    <row r="8" spans="1:15" ht="12.75" customHeight="1" x14ac:dyDescent="0.25">
      <c r="A8" s="53">
        <v>2</v>
      </c>
      <c r="B8" s="53">
        <v>2020</v>
      </c>
      <c r="C8" s="53" t="str">
        <f t="shared" si="0"/>
        <v>Rent: 10</v>
      </c>
      <c r="D8" s="73" t="s">
        <v>503</v>
      </c>
      <c r="E8" s="56" t="s">
        <v>66</v>
      </c>
      <c r="F8" s="58">
        <v>0</v>
      </c>
      <c r="G8" s="58">
        <v>509.67</v>
      </c>
      <c r="H8" s="58">
        <f t="shared" si="1"/>
        <v>2958.67</v>
      </c>
      <c r="I8" s="40">
        <v>3303</v>
      </c>
      <c r="J8" s="45"/>
      <c r="K8" s="43"/>
      <c r="L8" s="40"/>
      <c r="M8" s="45"/>
      <c r="N8" s="44"/>
    </row>
    <row r="9" spans="1:15" ht="12.75" customHeight="1" x14ac:dyDescent="0.2">
      <c r="A9" s="53">
        <v>3</v>
      </c>
      <c r="B9" s="53">
        <v>2020</v>
      </c>
      <c r="C9" s="53" t="str">
        <f t="shared" si="0"/>
        <v>Rent: 1</v>
      </c>
      <c r="D9" s="73" t="s">
        <v>380</v>
      </c>
      <c r="E9" s="53" t="s">
        <v>129</v>
      </c>
      <c r="F9" s="58">
        <v>0</v>
      </c>
      <c r="G9" s="58">
        <v>1673.89</v>
      </c>
      <c r="H9" s="58">
        <f t="shared" si="1"/>
        <v>4632.5600000000004</v>
      </c>
      <c r="I9" s="40">
        <v>3304</v>
      </c>
      <c r="J9" s="44"/>
      <c r="K9" s="43"/>
      <c r="L9" s="40"/>
      <c r="M9" s="41"/>
      <c r="N9" s="44"/>
    </row>
    <row r="10" spans="1:15" ht="12.75" customHeight="1" x14ac:dyDescent="0.2">
      <c r="A10" s="53">
        <v>3</v>
      </c>
      <c r="B10" s="53">
        <v>2020</v>
      </c>
      <c r="C10" s="53" t="str">
        <f t="shared" si="0"/>
        <v>Priv Tax: 1</v>
      </c>
      <c r="D10" s="73" t="s">
        <v>380</v>
      </c>
      <c r="E10" s="53" t="s">
        <v>59</v>
      </c>
      <c r="F10" s="58">
        <v>0</v>
      </c>
      <c r="G10" s="58">
        <v>25.1084</v>
      </c>
      <c r="H10" s="58">
        <f t="shared" si="1"/>
        <v>4657.6684000000005</v>
      </c>
      <c r="I10" s="40">
        <v>3305</v>
      </c>
      <c r="J10" s="40"/>
      <c r="K10" s="40"/>
      <c r="L10" s="40"/>
      <c r="M10" s="43"/>
      <c r="N10" s="44"/>
    </row>
    <row r="11" spans="1:15" ht="12.75" customHeight="1" x14ac:dyDescent="0.25">
      <c r="A11" s="53">
        <v>2</v>
      </c>
      <c r="B11" s="53">
        <v>2020</v>
      </c>
      <c r="C11" s="53" t="str">
        <f t="shared" si="0"/>
        <v>Income: 1</v>
      </c>
      <c r="D11" s="73" t="s">
        <v>503</v>
      </c>
      <c r="E11" s="56" t="s">
        <v>49</v>
      </c>
      <c r="F11" s="58">
        <v>4657.67</v>
      </c>
      <c r="G11" s="58">
        <v>0</v>
      </c>
      <c r="H11" s="58">
        <f t="shared" si="1"/>
        <v>-1.5999999995983671E-3</v>
      </c>
      <c r="I11" s="40">
        <v>3306</v>
      </c>
      <c r="J11" s="43"/>
      <c r="K11" s="43"/>
      <c r="L11" s="40"/>
      <c r="M11" s="43"/>
      <c r="N11" s="44"/>
      <c r="O11" s="46"/>
    </row>
    <row r="12" spans="1:15" ht="12.75" customHeight="1" x14ac:dyDescent="0.2">
      <c r="A12" s="53">
        <v>4</v>
      </c>
      <c r="B12" s="53">
        <v>2020</v>
      </c>
      <c r="C12" s="53" t="str">
        <f t="shared" si="0"/>
        <v>Rent: 1</v>
      </c>
      <c r="D12" s="73" t="s">
        <v>382</v>
      </c>
      <c r="E12" s="53" t="s">
        <v>132</v>
      </c>
      <c r="F12" s="58">
        <v>0</v>
      </c>
      <c r="G12" s="58">
        <v>1673.89</v>
      </c>
      <c r="H12" s="58">
        <f t="shared" si="1"/>
        <v>1673.8884000000005</v>
      </c>
      <c r="I12" s="40">
        <v>3307</v>
      </c>
      <c r="J12" s="45"/>
      <c r="K12" s="43"/>
      <c r="L12" s="40"/>
      <c r="M12" s="41"/>
      <c r="N12" s="41"/>
    </row>
    <row r="13" spans="1:15" ht="12.75" customHeight="1" x14ac:dyDescent="0.2">
      <c r="A13" s="53">
        <v>4</v>
      </c>
      <c r="B13" s="53">
        <v>2020</v>
      </c>
      <c r="C13" s="53" t="str">
        <f t="shared" si="0"/>
        <v>Priv Tax: 1</v>
      </c>
      <c r="D13" s="73" t="s">
        <v>382</v>
      </c>
      <c r="E13" s="53" t="s">
        <v>59</v>
      </c>
      <c r="F13" s="58">
        <v>0</v>
      </c>
      <c r="G13" s="58">
        <v>25.1084</v>
      </c>
      <c r="H13" s="58">
        <f t="shared" si="1"/>
        <v>1698.9968000000006</v>
      </c>
      <c r="I13" s="40">
        <v>3308</v>
      </c>
      <c r="J13" s="45"/>
      <c r="K13" s="43"/>
      <c r="L13" s="40"/>
      <c r="M13" s="41"/>
      <c r="N13" s="41"/>
    </row>
    <row r="14" spans="1:15" ht="12.75" customHeight="1" x14ac:dyDescent="0.25">
      <c r="A14" s="53">
        <v>3</v>
      </c>
      <c r="B14" s="53">
        <v>2020</v>
      </c>
      <c r="C14" s="53" t="str">
        <f t="shared" si="0"/>
        <v>Income: 1</v>
      </c>
      <c r="D14" s="73" t="s">
        <v>504</v>
      </c>
      <c r="E14" s="56" t="s">
        <v>49</v>
      </c>
      <c r="F14" s="58">
        <v>1699</v>
      </c>
      <c r="G14" s="58">
        <v>0</v>
      </c>
      <c r="H14" s="58">
        <f t="shared" si="1"/>
        <v>-3.199999999424108E-3</v>
      </c>
      <c r="I14" s="40">
        <v>3309</v>
      </c>
      <c r="J14" s="40"/>
      <c r="K14" s="43"/>
      <c r="L14" s="40"/>
      <c r="M14" s="43"/>
      <c r="N14" s="43"/>
    </row>
    <row r="15" spans="1:15" ht="12.75" customHeight="1" x14ac:dyDescent="0.2">
      <c r="A15" s="53">
        <v>5</v>
      </c>
      <c r="B15" s="53">
        <v>2020</v>
      </c>
      <c r="C15" s="53" t="str">
        <f t="shared" si="0"/>
        <v>Rent: 1</v>
      </c>
      <c r="D15" s="73" t="s">
        <v>384</v>
      </c>
      <c r="E15" s="53" t="s">
        <v>135</v>
      </c>
      <c r="F15" s="58">
        <v>0</v>
      </c>
      <c r="G15" s="58">
        <v>1673.89</v>
      </c>
      <c r="H15" s="58">
        <f t="shared" si="1"/>
        <v>1673.8868000000007</v>
      </c>
      <c r="I15" s="40">
        <v>3310</v>
      </c>
      <c r="J15" s="41"/>
      <c r="K15" s="43"/>
      <c r="L15" s="40"/>
      <c r="M15" s="43"/>
      <c r="N15" s="43"/>
    </row>
    <row r="16" spans="1:15" ht="12.75" customHeight="1" x14ac:dyDescent="0.2">
      <c r="A16" s="53">
        <v>5</v>
      </c>
      <c r="B16" s="53">
        <v>2020</v>
      </c>
      <c r="C16" s="53" t="str">
        <f t="shared" si="0"/>
        <v>Priv Tax: 1</v>
      </c>
      <c r="D16" s="73" t="s">
        <v>384</v>
      </c>
      <c r="E16" s="53" t="s">
        <v>59</v>
      </c>
      <c r="F16" s="58">
        <v>0</v>
      </c>
      <c r="G16" s="58">
        <v>25.1084</v>
      </c>
      <c r="H16" s="58">
        <f t="shared" si="1"/>
        <v>1698.9952000000008</v>
      </c>
      <c r="I16" s="43">
        <v>3311</v>
      </c>
      <c r="J16" s="43"/>
      <c r="K16" s="43"/>
      <c r="L16" s="40"/>
      <c r="M16" s="43"/>
      <c r="N16" s="43"/>
    </row>
    <row r="17" spans="1:14" ht="12.75" customHeight="1" x14ac:dyDescent="0.25">
      <c r="A17" s="53">
        <v>4</v>
      </c>
      <c r="B17" s="53">
        <v>2020</v>
      </c>
      <c r="C17" s="53" t="str">
        <f t="shared" si="0"/>
        <v>Income: 1</v>
      </c>
      <c r="D17" s="73" t="s">
        <v>505</v>
      </c>
      <c r="E17" s="56" t="s">
        <v>49</v>
      </c>
      <c r="F17" s="58">
        <v>1699</v>
      </c>
      <c r="G17" s="58">
        <v>0</v>
      </c>
      <c r="H17" s="58">
        <f t="shared" si="1"/>
        <v>-4.7999999992498488E-3</v>
      </c>
      <c r="I17" s="40">
        <v>3312</v>
      </c>
      <c r="J17" s="40"/>
      <c r="K17" s="40"/>
      <c r="L17" s="40"/>
      <c r="M17" s="43"/>
      <c r="N17" s="43"/>
    </row>
    <row r="18" spans="1:14" ht="12.75" customHeight="1" x14ac:dyDescent="0.2">
      <c r="A18" s="53">
        <v>6</v>
      </c>
      <c r="B18" s="53">
        <v>2020</v>
      </c>
      <c r="C18" s="53" t="str">
        <f t="shared" si="0"/>
        <v>Rent: 1</v>
      </c>
      <c r="D18" s="73" t="s">
        <v>386</v>
      </c>
      <c r="E18" s="53" t="s">
        <v>138</v>
      </c>
      <c r="F18" s="58">
        <v>0</v>
      </c>
      <c r="G18" s="58">
        <v>1673.89</v>
      </c>
      <c r="H18" s="58">
        <f t="shared" si="1"/>
        <v>1673.8852000000009</v>
      </c>
      <c r="I18" s="40">
        <v>3313</v>
      </c>
      <c r="J18" s="41"/>
      <c r="K18" s="41"/>
      <c r="L18" s="41"/>
      <c r="M18" s="43"/>
      <c r="N18" s="43"/>
    </row>
    <row r="19" spans="1:14" ht="12.75" customHeight="1" x14ac:dyDescent="0.2">
      <c r="A19" s="53">
        <v>6</v>
      </c>
      <c r="B19" s="53">
        <v>2020</v>
      </c>
      <c r="C19" s="53" t="str">
        <f t="shared" si="0"/>
        <v>Priv Tax: 1</v>
      </c>
      <c r="D19" s="73" t="s">
        <v>386</v>
      </c>
      <c r="E19" s="53" t="s">
        <v>59</v>
      </c>
      <c r="F19" s="58">
        <v>0</v>
      </c>
      <c r="G19" s="58">
        <v>25.111000000000001</v>
      </c>
      <c r="H19" s="58">
        <f t="shared" si="1"/>
        <v>1698.996200000001</v>
      </c>
      <c r="I19" s="43">
        <v>3314</v>
      </c>
      <c r="J19" s="43"/>
      <c r="K19" s="43"/>
      <c r="L19" s="40"/>
      <c r="M19" s="31"/>
      <c r="N19" s="31"/>
    </row>
    <row r="20" spans="1:14" ht="12.75" customHeight="1" x14ac:dyDescent="0.25">
      <c r="A20" s="53">
        <v>5</v>
      </c>
      <c r="B20" s="53">
        <v>2020</v>
      </c>
      <c r="C20" s="53" t="str">
        <f t="shared" si="0"/>
        <v>Income: 1</v>
      </c>
      <c r="D20" s="73" t="s">
        <v>506</v>
      </c>
      <c r="E20" s="56" t="s">
        <v>49</v>
      </c>
      <c r="F20" s="58">
        <v>1699</v>
      </c>
      <c r="G20" s="58">
        <v>0</v>
      </c>
      <c r="H20" s="58">
        <f t="shared" si="1"/>
        <v>-3.799999999046122E-3</v>
      </c>
      <c r="I20" s="40">
        <v>3315</v>
      </c>
      <c r="J20" s="40"/>
      <c r="K20" s="41"/>
      <c r="L20" s="41"/>
    </row>
    <row r="21" spans="1:14" ht="12.75" customHeight="1" x14ac:dyDescent="0.2">
      <c r="A21" s="53">
        <v>7</v>
      </c>
      <c r="B21" s="53">
        <v>2020</v>
      </c>
      <c r="C21" s="53" t="str">
        <f t="shared" si="0"/>
        <v>Rent: 1</v>
      </c>
      <c r="D21" s="73" t="s">
        <v>387</v>
      </c>
      <c r="E21" s="53" t="s">
        <v>142</v>
      </c>
      <c r="F21" s="58">
        <v>0</v>
      </c>
      <c r="G21" s="58">
        <v>1673.89</v>
      </c>
      <c r="H21" s="58">
        <f t="shared" si="1"/>
        <v>1673.8862000000011</v>
      </c>
      <c r="I21" s="40">
        <v>3316</v>
      </c>
      <c r="J21" s="41"/>
      <c r="K21" s="43"/>
      <c r="L21" s="40"/>
      <c r="M21" s="31"/>
      <c r="N21" s="31"/>
    </row>
    <row r="22" spans="1:14" ht="12.75" customHeight="1" x14ac:dyDescent="0.2">
      <c r="A22" s="53">
        <v>7</v>
      </c>
      <c r="B22" s="53">
        <v>2020</v>
      </c>
      <c r="C22" s="53" t="str">
        <f t="shared" si="0"/>
        <v>Priv Tax: 1</v>
      </c>
      <c r="D22" s="73" t="s">
        <v>387</v>
      </c>
      <c r="E22" s="53" t="s">
        <v>59</v>
      </c>
      <c r="F22" s="58">
        <v>0</v>
      </c>
      <c r="G22" s="58">
        <v>25.111000000000001</v>
      </c>
      <c r="H22" s="58">
        <f t="shared" si="1"/>
        <v>1698.9972000000012</v>
      </c>
      <c r="I22" s="40">
        <v>3317</v>
      </c>
      <c r="J22" s="41"/>
      <c r="K22" s="41"/>
      <c r="L22" s="41"/>
    </row>
    <row r="23" spans="1:14" ht="12.75" customHeight="1" x14ac:dyDescent="0.25">
      <c r="A23" s="53">
        <v>6</v>
      </c>
      <c r="B23" s="53">
        <v>2020</v>
      </c>
      <c r="C23" s="53" t="str">
        <f t="shared" si="0"/>
        <v>Income: 1</v>
      </c>
      <c r="D23" s="73" t="s">
        <v>388</v>
      </c>
      <c r="E23" s="56" t="s">
        <v>49</v>
      </c>
      <c r="F23" s="58">
        <v>1699</v>
      </c>
      <c r="G23" s="58">
        <v>0</v>
      </c>
      <c r="H23" s="58">
        <f t="shared" si="1"/>
        <v>-2.7999999988423951E-3</v>
      </c>
      <c r="I23" s="40">
        <v>3318</v>
      </c>
      <c r="J23" s="40"/>
      <c r="K23" s="40"/>
      <c r="L23" s="40"/>
      <c r="M23" s="31"/>
      <c r="N23" s="31"/>
    </row>
    <row r="24" spans="1:14" ht="12.75" customHeight="1" x14ac:dyDescent="0.2">
      <c r="A24" s="53">
        <v>8</v>
      </c>
      <c r="B24" s="53">
        <v>2020</v>
      </c>
      <c r="C24" s="53" t="str">
        <f t="shared" si="0"/>
        <v>Rent: 1</v>
      </c>
      <c r="D24" s="73" t="s">
        <v>390</v>
      </c>
      <c r="E24" s="53" t="s">
        <v>145</v>
      </c>
      <c r="F24" s="58">
        <v>0</v>
      </c>
      <c r="G24" s="58">
        <v>1668.96</v>
      </c>
      <c r="H24" s="58">
        <f t="shared" si="1"/>
        <v>1668.9572000000012</v>
      </c>
      <c r="I24" s="40">
        <v>3319</v>
      </c>
      <c r="J24" s="41"/>
      <c r="K24" s="41"/>
      <c r="L24" s="41"/>
    </row>
    <row r="25" spans="1:14" ht="12.75" customHeight="1" x14ac:dyDescent="0.2">
      <c r="A25" s="53">
        <v>8</v>
      </c>
      <c r="B25" s="53">
        <v>2020</v>
      </c>
      <c r="C25" s="53" t="str">
        <f t="shared" si="0"/>
        <v>Priv Tax: 1</v>
      </c>
      <c r="D25" s="73" t="s">
        <v>390</v>
      </c>
      <c r="E25" s="53" t="s">
        <v>59</v>
      </c>
      <c r="F25" s="58">
        <v>0</v>
      </c>
      <c r="G25" s="58">
        <v>30.04</v>
      </c>
      <c r="H25" s="58">
        <f t="shared" si="1"/>
        <v>1698.9972000000012</v>
      </c>
      <c r="I25" s="43">
        <v>3320</v>
      </c>
      <c r="J25" s="43"/>
      <c r="K25" s="43"/>
      <c r="L25" s="40"/>
      <c r="M25" s="31"/>
      <c r="N25" s="31"/>
    </row>
    <row r="26" spans="1:14" ht="12.75" customHeight="1" x14ac:dyDescent="0.25">
      <c r="A26" s="53">
        <v>7</v>
      </c>
      <c r="B26" s="53">
        <v>2020</v>
      </c>
      <c r="C26" s="53" t="str">
        <f t="shared" si="0"/>
        <v>Income: 1</v>
      </c>
      <c r="D26" s="73" t="s">
        <v>507</v>
      </c>
      <c r="E26" s="56" t="s">
        <v>49</v>
      </c>
      <c r="F26" s="58">
        <v>1699</v>
      </c>
      <c r="G26" s="58">
        <v>0</v>
      </c>
      <c r="H26" s="58">
        <f t="shared" si="1"/>
        <v>-2.7999999988423951E-3</v>
      </c>
      <c r="I26" s="43">
        <v>3321</v>
      </c>
      <c r="J26" s="43"/>
      <c r="K26" s="41"/>
      <c r="L26" s="41"/>
    </row>
    <row r="27" spans="1:14" ht="12.75" customHeight="1" x14ac:dyDescent="0.2">
      <c r="A27" s="53">
        <v>9</v>
      </c>
      <c r="B27" s="53">
        <v>2020</v>
      </c>
      <c r="C27" s="53" t="str">
        <f t="shared" si="0"/>
        <v>Rent: 1</v>
      </c>
      <c r="D27" s="73" t="s">
        <v>393</v>
      </c>
      <c r="E27" s="53" t="s">
        <v>148</v>
      </c>
      <c r="F27" s="58">
        <v>0</v>
      </c>
      <c r="G27" s="58">
        <v>1668.96</v>
      </c>
      <c r="H27" s="58">
        <f t="shared" si="1"/>
        <v>1668.9572000000012</v>
      </c>
      <c r="I27" s="40">
        <v>3322</v>
      </c>
      <c r="J27" s="40"/>
      <c r="K27" s="43"/>
      <c r="L27" s="40"/>
    </row>
    <row r="28" spans="1:14" ht="12.75" customHeight="1" x14ac:dyDescent="0.2">
      <c r="A28" s="53">
        <v>9</v>
      </c>
      <c r="B28" s="53">
        <v>2020</v>
      </c>
      <c r="C28" s="53" t="str">
        <f t="shared" si="0"/>
        <v>Priv Tax: 1</v>
      </c>
      <c r="D28" s="73" t="s">
        <v>393</v>
      </c>
      <c r="E28" s="53" t="s">
        <v>59</v>
      </c>
      <c r="F28" s="58">
        <v>0</v>
      </c>
      <c r="G28" s="58">
        <v>30.04</v>
      </c>
      <c r="H28" s="58">
        <f t="shared" si="1"/>
        <v>1698.9972000000012</v>
      </c>
      <c r="I28" s="40">
        <v>3323</v>
      </c>
      <c r="J28" s="41"/>
      <c r="K28" s="43"/>
      <c r="L28" s="40"/>
    </row>
    <row r="29" spans="1:14" ht="12.75" customHeight="1" x14ac:dyDescent="0.25">
      <c r="A29" s="53">
        <v>8</v>
      </c>
      <c r="B29" s="53">
        <v>2020</v>
      </c>
      <c r="C29" s="53" t="str">
        <f t="shared" si="0"/>
        <v>Income: 1</v>
      </c>
      <c r="D29" s="73" t="s">
        <v>508</v>
      </c>
      <c r="E29" s="56" t="s">
        <v>49</v>
      </c>
      <c r="F29" s="58">
        <v>1699</v>
      </c>
      <c r="G29" s="58">
        <v>0</v>
      </c>
      <c r="H29" s="58">
        <f t="shared" si="1"/>
        <v>-2.7999999988423951E-3</v>
      </c>
      <c r="I29" s="40">
        <v>3324</v>
      </c>
      <c r="J29" s="40"/>
      <c r="K29" s="40"/>
      <c r="L29" s="40"/>
    </row>
    <row r="30" spans="1:14" ht="12.75" customHeight="1" x14ac:dyDescent="0.2">
      <c r="A30" s="53">
        <v>10</v>
      </c>
      <c r="B30" s="53">
        <v>2020</v>
      </c>
      <c r="C30" s="53" t="str">
        <f t="shared" si="0"/>
        <v>Rent: 1</v>
      </c>
      <c r="D30" s="73" t="s">
        <v>395</v>
      </c>
      <c r="E30" s="53" t="s">
        <v>151</v>
      </c>
      <c r="F30" s="58">
        <v>0</v>
      </c>
      <c r="G30" s="58">
        <v>1668.96</v>
      </c>
      <c r="H30" s="58">
        <f t="shared" si="1"/>
        <v>1668.9572000000012</v>
      </c>
      <c r="I30" s="40">
        <v>3325</v>
      </c>
      <c r="J30" s="40"/>
      <c r="K30" s="40"/>
      <c r="L30" s="40"/>
    </row>
    <row r="31" spans="1:14" ht="12.75" customHeight="1" x14ac:dyDescent="0.2">
      <c r="A31" s="53">
        <v>10</v>
      </c>
      <c r="B31" s="53">
        <v>2020</v>
      </c>
      <c r="C31" s="53" t="str">
        <f t="shared" si="0"/>
        <v>Priv Tax: 1</v>
      </c>
      <c r="D31" s="73" t="s">
        <v>395</v>
      </c>
      <c r="E31" s="53" t="s">
        <v>59</v>
      </c>
      <c r="F31" s="58">
        <v>0</v>
      </c>
      <c r="G31" s="58">
        <v>30.04</v>
      </c>
      <c r="H31" s="58">
        <f t="shared" si="1"/>
        <v>1698.9972000000012</v>
      </c>
      <c r="I31" s="43">
        <v>3326</v>
      </c>
      <c r="J31" s="43"/>
      <c r="K31" s="43"/>
      <c r="L31" s="40"/>
    </row>
    <row r="32" spans="1:14" ht="12.75" customHeight="1" x14ac:dyDescent="0.25">
      <c r="A32" s="53">
        <v>9</v>
      </c>
      <c r="B32" s="53">
        <v>2020</v>
      </c>
      <c r="C32" s="53" t="str">
        <f t="shared" si="0"/>
        <v>Income: 1</v>
      </c>
      <c r="D32" s="73" t="s">
        <v>509</v>
      </c>
      <c r="E32" s="56" t="s">
        <v>49</v>
      </c>
      <c r="F32" s="58">
        <v>1699</v>
      </c>
      <c r="G32" s="58">
        <v>0</v>
      </c>
      <c r="H32" s="58">
        <f t="shared" si="1"/>
        <v>-2.7999999988423951E-3</v>
      </c>
      <c r="I32" s="43">
        <v>3327</v>
      </c>
      <c r="J32" s="43"/>
      <c r="K32" s="43"/>
      <c r="L32" s="40"/>
    </row>
    <row r="33" spans="1:12" ht="12.75" customHeight="1" x14ac:dyDescent="0.2">
      <c r="A33" s="53">
        <v>11</v>
      </c>
      <c r="B33" s="53">
        <v>2020</v>
      </c>
      <c r="C33" s="53" t="str">
        <f t="shared" si="0"/>
        <v>Rent: 1</v>
      </c>
      <c r="D33" s="73" t="s">
        <v>397</v>
      </c>
      <c r="E33" s="53" t="s">
        <v>154</v>
      </c>
      <c r="F33" s="58">
        <v>0</v>
      </c>
      <c r="G33" s="58">
        <v>1668.96</v>
      </c>
      <c r="H33" s="58">
        <f t="shared" si="1"/>
        <v>1668.9572000000012</v>
      </c>
      <c r="I33" s="43">
        <v>3328</v>
      </c>
      <c r="J33" s="43"/>
      <c r="K33" s="43"/>
      <c r="L33" s="40"/>
    </row>
    <row r="34" spans="1:12" ht="12.75" customHeight="1" x14ac:dyDescent="0.2">
      <c r="A34" s="53">
        <v>11</v>
      </c>
      <c r="B34" s="53">
        <v>2020</v>
      </c>
      <c r="C34" s="53" t="str">
        <f t="shared" si="0"/>
        <v>Priv Tax: 1</v>
      </c>
      <c r="D34" s="73" t="s">
        <v>397</v>
      </c>
      <c r="E34" s="53" t="s">
        <v>59</v>
      </c>
      <c r="F34" s="58">
        <v>0</v>
      </c>
      <c r="G34" s="58">
        <v>30.04</v>
      </c>
      <c r="H34" s="58">
        <f t="shared" si="1"/>
        <v>1698.9972000000012</v>
      </c>
      <c r="I34" s="43">
        <v>3329</v>
      </c>
      <c r="J34" s="43"/>
      <c r="K34" s="43"/>
      <c r="L34" s="40"/>
    </row>
    <row r="35" spans="1:12" ht="12.75" customHeight="1" x14ac:dyDescent="0.25">
      <c r="A35" s="53">
        <v>11</v>
      </c>
      <c r="B35" s="53">
        <v>2020</v>
      </c>
      <c r="C35" s="53" t="str">
        <f t="shared" si="0"/>
        <v>Income: 1</v>
      </c>
      <c r="D35" s="73" t="s">
        <v>398</v>
      </c>
      <c r="E35" s="56" t="s">
        <v>49</v>
      </c>
      <c r="F35" s="58">
        <v>1699</v>
      </c>
      <c r="G35" s="58">
        <v>0</v>
      </c>
      <c r="H35" s="58">
        <f t="shared" si="1"/>
        <v>-2.7999999988423951E-3</v>
      </c>
      <c r="I35" s="40">
        <v>3330</v>
      </c>
      <c r="J35" s="45"/>
      <c r="K35" s="41"/>
      <c r="L35" s="41"/>
    </row>
    <row r="36" spans="1:12" ht="12.75" customHeight="1" x14ac:dyDescent="0.2">
      <c r="A36" s="53">
        <v>12</v>
      </c>
      <c r="B36" s="53">
        <v>2020</v>
      </c>
      <c r="C36" s="53" t="str">
        <f t="shared" si="0"/>
        <v>Rent: 1</v>
      </c>
      <c r="D36" s="73" t="s">
        <v>399</v>
      </c>
      <c r="E36" s="53" t="s">
        <v>157</v>
      </c>
      <c r="F36" s="58">
        <v>0</v>
      </c>
      <c r="G36" s="58">
        <v>1668.96</v>
      </c>
      <c r="H36" s="58">
        <f t="shared" si="1"/>
        <v>1668.9572000000012</v>
      </c>
      <c r="I36" s="40">
        <v>3331</v>
      </c>
      <c r="J36" s="44"/>
      <c r="K36" s="41"/>
      <c r="L36" s="41"/>
    </row>
    <row r="37" spans="1:12" ht="12.75" customHeight="1" x14ac:dyDescent="0.2">
      <c r="A37" s="53">
        <v>12</v>
      </c>
      <c r="B37" s="53">
        <v>2020</v>
      </c>
      <c r="C37" s="53" t="str">
        <f t="shared" ref="C37:C68" si="2">IFERROR("Late Fee "&amp;FIND("Late Fee",E37),IFERROR("Internet "&amp;FIND("Internet",E37),IFERROR("Utilities "&amp;FIND("Utilities",E37),IFERROR("Rent: "&amp;FIND("Rent",E37),IFERROR("Priv Tax: "&amp;FIND("Tax",E37),IFERROR("Income: "&amp;FIND("Payment",E37,1),""))))))</f>
        <v>Priv Tax: 1</v>
      </c>
      <c r="D37" s="73" t="s">
        <v>399</v>
      </c>
      <c r="E37" s="53" t="s">
        <v>59</v>
      </c>
      <c r="F37" s="58">
        <v>0</v>
      </c>
      <c r="G37" s="58">
        <v>30.04</v>
      </c>
      <c r="H37" s="58">
        <f t="shared" si="1"/>
        <v>1698.9972000000012</v>
      </c>
      <c r="I37" s="43">
        <v>3332</v>
      </c>
      <c r="J37" s="43"/>
      <c r="K37" s="43"/>
      <c r="L37" s="40"/>
    </row>
    <row r="38" spans="1:12" ht="12.75" customHeight="1" x14ac:dyDescent="0.25">
      <c r="A38" s="53">
        <v>11</v>
      </c>
      <c r="B38" s="53">
        <v>2020</v>
      </c>
      <c r="C38" s="53" t="str">
        <f t="shared" si="2"/>
        <v>Income: 1</v>
      </c>
      <c r="D38" s="73" t="s">
        <v>510</v>
      </c>
      <c r="E38" s="56" t="s">
        <v>49</v>
      </c>
      <c r="F38" s="58">
        <v>1699</v>
      </c>
      <c r="G38" s="58">
        <v>0</v>
      </c>
      <c r="H38" s="58">
        <f t="shared" ref="H38:H69" si="3" xml:space="preserve"> H37 + G38 - F38</f>
        <v>-2.7999999988423951E-3</v>
      </c>
      <c r="I38" s="40">
        <v>3333</v>
      </c>
      <c r="J38" s="40"/>
      <c r="K38" s="43"/>
      <c r="L38" s="40"/>
    </row>
    <row r="39" spans="1:12" ht="12.75" customHeight="1" x14ac:dyDescent="0.2">
      <c r="A39" s="53">
        <v>1</v>
      </c>
      <c r="B39" s="53">
        <v>2021</v>
      </c>
      <c r="C39" s="53" t="str">
        <f t="shared" si="2"/>
        <v>Rent: 1</v>
      </c>
      <c r="D39" s="73" t="s">
        <v>401</v>
      </c>
      <c r="E39" s="53" t="s">
        <v>402</v>
      </c>
      <c r="F39" s="58">
        <v>0</v>
      </c>
      <c r="G39" s="58">
        <v>1668.96</v>
      </c>
      <c r="H39" s="58">
        <f t="shared" si="3"/>
        <v>1668.9572000000012</v>
      </c>
      <c r="I39" s="40">
        <v>3334</v>
      </c>
      <c r="J39" s="41"/>
      <c r="K39" s="41"/>
      <c r="L39" s="41"/>
    </row>
    <row r="40" spans="1:12" ht="12.75" customHeight="1" x14ac:dyDescent="0.2">
      <c r="A40" s="53">
        <v>1</v>
      </c>
      <c r="B40" s="53">
        <v>2021</v>
      </c>
      <c r="C40" s="53" t="str">
        <f t="shared" si="2"/>
        <v>Priv Tax: 1</v>
      </c>
      <c r="D40" s="73" t="s">
        <v>401</v>
      </c>
      <c r="E40" s="53" t="s">
        <v>59</v>
      </c>
      <c r="F40" s="58">
        <v>0</v>
      </c>
      <c r="G40" s="58">
        <v>30.04</v>
      </c>
      <c r="H40" s="58">
        <f t="shared" si="3"/>
        <v>1698.9972000000012</v>
      </c>
      <c r="I40" s="40">
        <v>3335</v>
      </c>
      <c r="J40" s="40"/>
      <c r="K40" s="41"/>
      <c r="L40" s="41"/>
    </row>
    <row r="41" spans="1:12" ht="12.75" customHeight="1" x14ac:dyDescent="0.25">
      <c r="A41" s="53">
        <v>12</v>
      </c>
      <c r="B41" s="53">
        <v>2020</v>
      </c>
      <c r="C41" s="53" t="str">
        <f t="shared" si="2"/>
        <v>Income: 1</v>
      </c>
      <c r="D41" s="73" t="s">
        <v>403</v>
      </c>
      <c r="E41" s="56" t="s">
        <v>49</v>
      </c>
      <c r="F41" s="58">
        <v>1699</v>
      </c>
      <c r="G41" s="58">
        <v>0</v>
      </c>
      <c r="H41" s="58">
        <f t="shared" si="3"/>
        <v>-2.7999999988423951E-3</v>
      </c>
      <c r="I41" s="40">
        <v>3336</v>
      </c>
      <c r="J41" s="40"/>
      <c r="K41" s="40"/>
      <c r="L41" s="40"/>
    </row>
    <row r="42" spans="1:12" ht="12.75" customHeight="1" x14ac:dyDescent="0.2">
      <c r="A42" s="53">
        <v>2</v>
      </c>
      <c r="B42" s="53">
        <v>2020</v>
      </c>
      <c r="C42" s="53" t="str">
        <f t="shared" si="2"/>
        <v>Rent: 1</v>
      </c>
      <c r="D42" s="73" t="s">
        <v>377</v>
      </c>
      <c r="E42" s="53" t="s">
        <v>126</v>
      </c>
      <c r="F42" s="58">
        <v>0</v>
      </c>
      <c r="G42" s="58">
        <v>1668.96</v>
      </c>
      <c r="H42" s="58">
        <f t="shared" si="3"/>
        <v>1668.9572000000012</v>
      </c>
      <c r="I42" s="43">
        <v>3337</v>
      </c>
      <c r="J42" s="43"/>
      <c r="K42" s="40"/>
      <c r="L42" s="40"/>
    </row>
    <row r="43" spans="1:12" ht="12.75" customHeight="1" x14ac:dyDescent="0.2">
      <c r="A43" s="53">
        <v>2</v>
      </c>
      <c r="B43" s="53">
        <v>2020</v>
      </c>
      <c r="C43" s="53" t="str">
        <f t="shared" si="2"/>
        <v>Priv Tax: 1</v>
      </c>
      <c r="D43" s="73" t="s">
        <v>377</v>
      </c>
      <c r="E43" s="53" t="s">
        <v>59</v>
      </c>
      <c r="F43" s="58">
        <v>0</v>
      </c>
      <c r="G43" s="58">
        <v>30.04</v>
      </c>
      <c r="H43" s="58">
        <f t="shared" si="3"/>
        <v>1698.9972000000012</v>
      </c>
      <c r="I43" s="43">
        <v>3338</v>
      </c>
      <c r="J43" s="43"/>
      <c r="K43" s="40"/>
      <c r="L43" s="40"/>
    </row>
    <row r="44" spans="1:12" ht="12.75" customHeight="1" x14ac:dyDescent="0.25">
      <c r="A44" s="53">
        <v>2</v>
      </c>
      <c r="B44" s="53">
        <v>2021</v>
      </c>
      <c r="C44" s="53" t="str">
        <f t="shared" si="2"/>
        <v>Income: 1</v>
      </c>
      <c r="D44" s="73" t="s">
        <v>405</v>
      </c>
      <c r="E44" s="56" t="s">
        <v>49</v>
      </c>
      <c r="F44" s="58">
        <v>1699</v>
      </c>
      <c r="G44" s="58">
        <v>0</v>
      </c>
      <c r="H44" s="58">
        <f t="shared" si="3"/>
        <v>-2.7999999988423951E-3</v>
      </c>
      <c r="I44" s="43">
        <v>3339</v>
      </c>
      <c r="J44" s="43"/>
      <c r="K44" s="41"/>
      <c r="L44" s="41"/>
    </row>
    <row r="45" spans="1:12" ht="12.75" customHeight="1" x14ac:dyDescent="0.2">
      <c r="A45" s="53">
        <v>3</v>
      </c>
      <c r="B45" s="53">
        <v>2021</v>
      </c>
      <c r="C45" s="53" t="str">
        <f t="shared" si="2"/>
        <v>Rent: 1</v>
      </c>
      <c r="D45" s="73" t="s">
        <v>406</v>
      </c>
      <c r="E45" s="53" t="s">
        <v>166</v>
      </c>
      <c r="F45" s="58">
        <v>0</v>
      </c>
      <c r="G45" s="58">
        <v>1668.96</v>
      </c>
      <c r="H45" s="58">
        <f t="shared" si="3"/>
        <v>1668.9572000000012</v>
      </c>
      <c r="I45" s="43">
        <v>3340</v>
      </c>
      <c r="J45" s="43"/>
      <c r="K45" s="40"/>
      <c r="L45" s="40"/>
    </row>
    <row r="46" spans="1:12" ht="12.75" customHeight="1" x14ac:dyDescent="0.2">
      <c r="A46" s="53">
        <v>3</v>
      </c>
      <c r="B46" s="53">
        <v>2021</v>
      </c>
      <c r="C46" s="53" t="str">
        <f t="shared" si="2"/>
        <v>Priv Tax: 1</v>
      </c>
      <c r="D46" s="73" t="s">
        <v>406</v>
      </c>
      <c r="E46" s="53" t="s">
        <v>59</v>
      </c>
      <c r="F46" s="58">
        <v>0</v>
      </c>
      <c r="G46" s="58">
        <v>30.04</v>
      </c>
      <c r="H46" s="58">
        <f t="shared" si="3"/>
        <v>1698.9972000000012</v>
      </c>
      <c r="I46" s="43">
        <v>3341</v>
      </c>
      <c r="J46" s="43"/>
      <c r="K46" s="40"/>
      <c r="L46" s="40"/>
    </row>
    <row r="47" spans="1:12" ht="12.75" customHeight="1" x14ac:dyDescent="0.25">
      <c r="A47" s="53">
        <v>2</v>
      </c>
      <c r="B47" s="53">
        <v>2021</v>
      </c>
      <c r="C47" s="53" t="str">
        <f t="shared" si="2"/>
        <v>Income: 1</v>
      </c>
      <c r="D47" s="73" t="s">
        <v>511</v>
      </c>
      <c r="E47" s="56" t="s">
        <v>49</v>
      </c>
      <c r="F47" s="58">
        <v>1699</v>
      </c>
      <c r="G47" s="58">
        <v>0</v>
      </c>
      <c r="H47" s="58">
        <f t="shared" si="3"/>
        <v>-2.7999999988423951E-3</v>
      </c>
      <c r="I47" s="43">
        <v>3342</v>
      </c>
      <c r="J47" s="43"/>
      <c r="K47" s="41"/>
      <c r="L47" s="41"/>
    </row>
    <row r="48" spans="1:12" ht="12.75" customHeight="1" x14ac:dyDescent="0.2">
      <c r="A48" s="53">
        <v>4</v>
      </c>
      <c r="B48" s="53">
        <v>2021</v>
      </c>
      <c r="C48" s="53" t="str">
        <f t="shared" si="2"/>
        <v>Rent: 1</v>
      </c>
      <c r="D48" s="73" t="s">
        <v>407</v>
      </c>
      <c r="E48" s="53" t="s">
        <v>169</v>
      </c>
      <c r="F48" s="58">
        <v>0</v>
      </c>
      <c r="G48" s="58">
        <v>1668.96</v>
      </c>
      <c r="H48" s="58">
        <f t="shared" si="3"/>
        <v>1668.9572000000012</v>
      </c>
      <c r="I48" s="40">
        <v>3343</v>
      </c>
      <c r="J48" s="40"/>
      <c r="K48" s="40"/>
      <c r="L48" s="40"/>
    </row>
    <row r="49" spans="1:13" ht="12.75" customHeight="1" x14ac:dyDescent="0.2">
      <c r="A49" s="53">
        <v>4</v>
      </c>
      <c r="B49" s="53">
        <v>2021</v>
      </c>
      <c r="C49" s="53" t="str">
        <f t="shared" si="2"/>
        <v>Priv Tax: 1</v>
      </c>
      <c r="D49" s="73" t="s">
        <v>407</v>
      </c>
      <c r="E49" s="53" t="s">
        <v>59</v>
      </c>
      <c r="F49" s="58">
        <v>0</v>
      </c>
      <c r="G49" s="58">
        <v>30.04</v>
      </c>
      <c r="H49" s="58">
        <f t="shared" si="3"/>
        <v>1698.9972000000012</v>
      </c>
      <c r="I49" s="40">
        <v>3344</v>
      </c>
      <c r="J49" s="41"/>
      <c r="K49" s="40"/>
      <c r="L49" s="40"/>
    </row>
    <row r="50" spans="1:13" ht="12.75" customHeight="1" x14ac:dyDescent="0.25">
      <c r="A50" s="53">
        <v>3</v>
      </c>
      <c r="B50" s="53">
        <v>2021</v>
      </c>
      <c r="C50" s="53" t="str">
        <f t="shared" si="2"/>
        <v>Income: 1</v>
      </c>
      <c r="D50" s="73" t="s">
        <v>512</v>
      </c>
      <c r="E50" s="56" t="s">
        <v>49</v>
      </c>
      <c r="F50" s="58">
        <v>1699</v>
      </c>
      <c r="G50" s="58">
        <v>0</v>
      </c>
      <c r="H50" s="58">
        <f t="shared" si="3"/>
        <v>-2.7999999988423951E-3</v>
      </c>
      <c r="I50" s="40">
        <v>3345</v>
      </c>
      <c r="J50" s="40"/>
      <c r="K50" s="41"/>
      <c r="L50" s="41"/>
    </row>
    <row r="51" spans="1:13" ht="12.75" customHeight="1" x14ac:dyDescent="0.2">
      <c r="A51" s="53">
        <v>5</v>
      </c>
      <c r="B51" s="53">
        <v>2021</v>
      </c>
      <c r="C51" s="53" t="str">
        <f t="shared" si="2"/>
        <v>Rent: 1</v>
      </c>
      <c r="D51" s="73" t="s">
        <v>409</v>
      </c>
      <c r="E51" s="53" t="s">
        <v>172</v>
      </c>
      <c r="F51" s="58">
        <v>0</v>
      </c>
      <c r="G51" s="58">
        <v>1699</v>
      </c>
      <c r="H51" s="58">
        <f t="shared" si="3"/>
        <v>1698.9972000000012</v>
      </c>
      <c r="I51" s="40">
        <v>3346</v>
      </c>
      <c r="J51" s="40"/>
      <c r="K51" s="40"/>
      <c r="L51" s="43"/>
    </row>
    <row r="52" spans="1:13" ht="12.75" customHeight="1" x14ac:dyDescent="0.25">
      <c r="A52" s="53">
        <v>4</v>
      </c>
      <c r="B52" s="53">
        <v>2021</v>
      </c>
      <c r="C52" s="53" t="str">
        <f t="shared" si="2"/>
        <v>Income: 1</v>
      </c>
      <c r="D52" s="73" t="s">
        <v>513</v>
      </c>
      <c r="E52" s="56" t="s">
        <v>49</v>
      </c>
      <c r="F52" s="58">
        <v>1699</v>
      </c>
      <c r="G52" s="58">
        <v>0</v>
      </c>
      <c r="H52" s="58">
        <f t="shared" si="3"/>
        <v>-2.7999999988423951E-3</v>
      </c>
      <c r="I52" s="43">
        <v>3347</v>
      </c>
      <c r="J52" s="43"/>
      <c r="K52" s="40"/>
      <c r="L52" s="43"/>
    </row>
    <row r="53" spans="1:13" ht="12.75" customHeight="1" x14ac:dyDescent="0.2">
      <c r="A53" s="53">
        <v>6</v>
      </c>
      <c r="B53" s="53">
        <v>2021</v>
      </c>
      <c r="C53" s="53" t="str">
        <f t="shared" si="2"/>
        <v>Rent: 1</v>
      </c>
      <c r="D53" s="73" t="s">
        <v>412</v>
      </c>
      <c r="E53" s="53" t="s">
        <v>175</v>
      </c>
      <c r="F53" s="58">
        <v>0</v>
      </c>
      <c r="G53" s="58">
        <v>1699</v>
      </c>
      <c r="H53" s="58">
        <f t="shared" si="3"/>
        <v>1698.9972000000012</v>
      </c>
      <c r="I53" s="43">
        <v>3348</v>
      </c>
      <c r="J53" s="43"/>
      <c r="K53" s="41"/>
      <c r="L53" s="41"/>
    </row>
    <row r="54" spans="1:13" ht="12.75" customHeight="1" x14ac:dyDescent="0.25">
      <c r="A54" s="53">
        <v>6</v>
      </c>
      <c r="B54" s="53">
        <v>2021</v>
      </c>
      <c r="C54" s="53" t="str">
        <f t="shared" si="2"/>
        <v>Income: 1</v>
      </c>
      <c r="D54" s="73" t="s">
        <v>412</v>
      </c>
      <c r="E54" s="56" t="s">
        <v>49</v>
      </c>
      <c r="F54" s="58">
        <v>1699</v>
      </c>
      <c r="G54" s="58">
        <v>0</v>
      </c>
      <c r="H54" s="58">
        <f t="shared" si="3"/>
        <v>-2.7999999988423951E-3</v>
      </c>
      <c r="I54" s="43">
        <v>3349</v>
      </c>
      <c r="J54" s="43"/>
      <c r="K54" s="40"/>
      <c r="L54" s="43"/>
    </row>
    <row r="55" spans="1:13" ht="12.75" customHeight="1" x14ac:dyDescent="0.2">
      <c r="A55" s="53">
        <v>7</v>
      </c>
      <c r="B55" s="53">
        <v>2021</v>
      </c>
      <c r="C55" s="53" t="str">
        <f t="shared" si="2"/>
        <v>Rent: 1</v>
      </c>
      <c r="D55" s="73" t="s">
        <v>413</v>
      </c>
      <c r="E55" s="53" t="s">
        <v>178</v>
      </c>
      <c r="F55" s="58">
        <v>0</v>
      </c>
      <c r="G55" s="58">
        <v>1699</v>
      </c>
      <c r="H55" s="58">
        <f t="shared" si="3"/>
        <v>1698.9972000000012</v>
      </c>
      <c r="I55" s="43">
        <v>3350</v>
      </c>
      <c r="J55" s="43"/>
      <c r="K55" s="40"/>
      <c r="L55" s="43"/>
    </row>
    <row r="56" spans="1:13" ht="12.75" customHeight="1" x14ac:dyDescent="0.25">
      <c r="A56" s="53">
        <v>7</v>
      </c>
      <c r="B56" s="53">
        <v>2021</v>
      </c>
      <c r="C56" s="53" t="str">
        <f t="shared" si="2"/>
        <v>Income: 1</v>
      </c>
      <c r="D56" s="73" t="s">
        <v>413</v>
      </c>
      <c r="E56" s="56" t="s">
        <v>49</v>
      </c>
      <c r="F56" s="58">
        <v>1699</v>
      </c>
      <c r="G56" s="58">
        <v>0</v>
      </c>
      <c r="H56" s="58">
        <f t="shared" si="3"/>
        <v>-2.7999999988423951E-3</v>
      </c>
      <c r="I56" s="40">
        <v>3351</v>
      </c>
      <c r="J56" s="40"/>
      <c r="K56" s="41"/>
      <c r="L56" s="41"/>
    </row>
    <row r="57" spans="1:13" ht="12.75" customHeight="1" x14ac:dyDescent="0.2">
      <c r="A57" s="53">
        <v>8</v>
      </c>
      <c r="B57" s="53">
        <v>2021</v>
      </c>
      <c r="C57" s="53" t="str">
        <f t="shared" si="2"/>
        <v>Rent: 1</v>
      </c>
      <c r="D57" s="73" t="s">
        <v>416</v>
      </c>
      <c r="E57" s="53" t="s">
        <v>181</v>
      </c>
      <c r="F57" s="58">
        <v>0</v>
      </c>
      <c r="G57" s="58">
        <v>1699</v>
      </c>
      <c r="H57" s="58">
        <f t="shared" si="3"/>
        <v>1698.9972000000012</v>
      </c>
      <c r="I57" s="40">
        <v>3352</v>
      </c>
      <c r="J57" s="41"/>
      <c r="K57" s="40"/>
      <c r="L57" s="43"/>
      <c r="M57" s="29"/>
    </row>
    <row r="58" spans="1:13" ht="12.75" customHeight="1" x14ac:dyDescent="0.25">
      <c r="A58" s="53">
        <v>8</v>
      </c>
      <c r="B58" s="53">
        <v>2021</v>
      </c>
      <c r="C58" s="53" t="str">
        <f t="shared" si="2"/>
        <v>Income: 1</v>
      </c>
      <c r="D58" s="73" t="s">
        <v>417</v>
      </c>
      <c r="E58" s="56" t="s">
        <v>49</v>
      </c>
      <c r="F58" s="58">
        <v>1699</v>
      </c>
      <c r="G58" s="58">
        <v>0</v>
      </c>
      <c r="H58" s="58">
        <f t="shared" si="3"/>
        <v>-2.7999999988423951E-3</v>
      </c>
      <c r="I58" s="43">
        <v>3353</v>
      </c>
      <c r="J58" s="40"/>
      <c r="K58" s="40"/>
      <c r="L58" s="43"/>
    </row>
    <row r="59" spans="1:13" ht="12.75" customHeight="1" x14ac:dyDescent="0.2">
      <c r="A59" s="53">
        <v>9</v>
      </c>
      <c r="B59" s="53">
        <v>2021</v>
      </c>
      <c r="C59" s="53" t="str">
        <f t="shared" si="2"/>
        <v>Rent: 1</v>
      </c>
      <c r="D59" s="73" t="s">
        <v>418</v>
      </c>
      <c r="E59" s="53" t="s">
        <v>184</v>
      </c>
      <c r="F59" s="58">
        <v>0</v>
      </c>
      <c r="G59" s="58">
        <v>1975</v>
      </c>
      <c r="H59" s="58">
        <f t="shared" si="3"/>
        <v>1974.9972000000012</v>
      </c>
      <c r="I59" s="43">
        <v>3354</v>
      </c>
      <c r="J59" s="43"/>
      <c r="K59" s="41"/>
      <c r="L59" s="41"/>
    </row>
    <row r="60" spans="1:13" ht="12.75" customHeight="1" x14ac:dyDescent="0.25">
      <c r="A60" s="53">
        <v>9</v>
      </c>
      <c r="B60" s="53">
        <v>2021</v>
      </c>
      <c r="C60" s="53" t="str">
        <f t="shared" si="2"/>
        <v>Income: 1</v>
      </c>
      <c r="D60" s="73" t="s">
        <v>183</v>
      </c>
      <c r="E60" s="56" t="s">
        <v>49</v>
      </c>
      <c r="F60" s="58">
        <v>1975</v>
      </c>
      <c r="G60" s="58">
        <v>0</v>
      </c>
      <c r="H60" s="58">
        <f t="shared" si="3"/>
        <v>-2.7999999988423951E-3</v>
      </c>
      <c r="I60" s="40">
        <v>3355</v>
      </c>
      <c r="J60" s="40"/>
      <c r="K60" s="40"/>
      <c r="L60" s="40"/>
    </row>
    <row r="61" spans="1:13" ht="12.75" customHeight="1" x14ac:dyDescent="0.2">
      <c r="A61" s="53">
        <v>10</v>
      </c>
      <c r="B61" s="53">
        <v>2021</v>
      </c>
      <c r="C61" s="53" t="str">
        <f t="shared" si="2"/>
        <v>Rent: 1</v>
      </c>
      <c r="D61" s="73" t="s">
        <v>420</v>
      </c>
      <c r="E61" s="53" t="s">
        <v>187</v>
      </c>
      <c r="F61" s="58">
        <v>0</v>
      </c>
      <c r="G61" s="58">
        <v>1975</v>
      </c>
      <c r="H61" s="58">
        <f t="shared" si="3"/>
        <v>1974.9972000000012</v>
      </c>
      <c r="I61" s="43">
        <v>3356</v>
      </c>
      <c r="J61" s="43"/>
      <c r="K61" s="43"/>
      <c r="L61" s="40"/>
    </row>
    <row r="62" spans="1:13" ht="12.75" customHeight="1" x14ac:dyDescent="0.25">
      <c r="A62" s="53">
        <v>10</v>
      </c>
      <c r="B62" s="53">
        <v>2021</v>
      </c>
      <c r="C62" s="53" t="str">
        <f t="shared" si="2"/>
        <v>Income: 1</v>
      </c>
      <c r="D62" s="73" t="s">
        <v>420</v>
      </c>
      <c r="E62" s="56" t="s">
        <v>49</v>
      </c>
      <c r="F62" s="58">
        <v>1975</v>
      </c>
      <c r="G62" s="58">
        <v>0</v>
      </c>
      <c r="H62" s="58">
        <f t="shared" si="3"/>
        <v>-2.7999999988423951E-3</v>
      </c>
      <c r="I62" s="43">
        <v>3357</v>
      </c>
      <c r="J62" s="43"/>
      <c r="K62" s="41"/>
      <c r="L62" s="41"/>
    </row>
    <row r="63" spans="1:13" ht="12.75" customHeight="1" x14ac:dyDescent="0.2">
      <c r="A63" s="53">
        <v>11</v>
      </c>
      <c r="B63" s="53">
        <v>2021</v>
      </c>
      <c r="C63" s="53" t="str">
        <f t="shared" si="2"/>
        <v>Rent: 1</v>
      </c>
      <c r="D63" s="73" t="s">
        <v>422</v>
      </c>
      <c r="E63" s="53" t="s">
        <v>190</v>
      </c>
      <c r="F63" s="58">
        <v>0</v>
      </c>
      <c r="G63" s="58">
        <v>1975</v>
      </c>
      <c r="H63" s="58">
        <f t="shared" si="3"/>
        <v>1974.9972000000012</v>
      </c>
      <c r="I63" s="43">
        <v>3358</v>
      </c>
      <c r="J63" s="43"/>
      <c r="K63" s="43"/>
      <c r="L63" s="40"/>
    </row>
    <row r="64" spans="1:13" ht="12.75" customHeight="1" x14ac:dyDescent="0.25">
      <c r="A64" s="53">
        <v>11</v>
      </c>
      <c r="B64" s="53">
        <v>2021</v>
      </c>
      <c r="C64" s="53" t="str">
        <f t="shared" si="2"/>
        <v>Income: 1</v>
      </c>
      <c r="D64" s="73" t="s">
        <v>422</v>
      </c>
      <c r="E64" s="56" t="s">
        <v>49</v>
      </c>
      <c r="F64" s="58">
        <v>1975</v>
      </c>
      <c r="G64" s="58">
        <v>0</v>
      </c>
      <c r="H64" s="58">
        <f t="shared" si="3"/>
        <v>-2.7999999988423951E-3</v>
      </c>
      <c r="I64" s="43">
        <v>3359</v>
      </c>
      <c r="J64" s="43"/>
      <c r="K64" s="43"/>
      <c r="L64" s="40"/>
    </row>
    <row r="65" spans="1:12" ht="12.75" customHeight="1" x14ac:dyDescent="0.2">
      <c r="A65" s="53">
        <v>12</v>
      </c>
      <c r="B65" s="53">
        <v>2021</v>
      </c>
      <c r="C65" s="53" t="str">
        <f t="shared" si="2"/>
        <v>Rent: 1</v>
      </c>
      <c r="D65" s="73" t="s">
        <v>424</v>
      </c>
      <c r="E65" s="53" t="s">
        <v>193</v>
      </c>
      <c r="F65" s="58">
        <v>0</v>
      </c>
      <c r="G65" s="58">
        <v>1975</v>
      </c>
      <c r="H65" s="58">
        <f t="shared" si="3"/>
        <v>1974.9972000000012</v>
      </c>
      <c r="I65" s="43">
        <v>3360</v>
      </c>
      <c r="J65" s="43"/>
      <c r="K65" s="41"/>
      <c r="L65" s="41"/>
    </row>
    <row r="66" spans="1:12" ht="12.75" customHeight="1" x14ac:dyDescent="0.25">
      <c r="A66" s="53">
        <v>12</v>
      </c>
      <c r="B66" s="53">
        <v>2021</v>
      </c>
      <c r="C66" s="53" t="str">
        <f t="shared" si="2"/>
        <v>Income: 1</v>
      </c>
      <c r="D66" s="73" t="s">
        <v>424</v>
      </c>
      <c r="E66" s="56" t="s">
        <v>49</v>
      </c>
      <c r="F66" s="58">
        <v>1975</v>
      </c>
      <c r="G66" s="58">
        <v>0</v>
      </c>
      <c r="H66" s="58">
        <f t="shared" si="3"/>
        <v>-2.7999999988423951E-3</v>
      </c>
      <c r="I66" s="40">
        <v>3361</v>
      </c>
      <c r="J66" s="40"/>
      <c r="K66" s="43"/>
      <c r="L66" s="40"/>
    </row>
    <row r="67" spans="1:12" ht="12.75" customHeight="1" x14ac:dyDescent="0.2">
      <c r="A67" s="53">
        <v>1</v>
      </c>
      <c r="B67" s="53">
        <v>2022</v>
      </c>
      <c r="C67" s="53" t="str">
        <f t="shared" si="2"/>
        <v>Rent: 1</v>
      </c>
      <c r="D67" s="73" t="s">
        <v>426</v>
      </c>
      <c r="E67" s="53" t="s">
        <v>196</v>
      </c>
      <c r="F67" s="58">
        <v>0</v>
      </c>
      <c r="G67" s="58">
        <v>1975</v>
      </c>
      <c r="H67" s="58">
        <f t="shared" si="3"/>
        <v>1974.9972000000012</v>
      </c>
      <c r="I67" s="40">
        <v>3362</v>
      </c>
      <c r="J67" s="41"/>
      <c r="K67" s="45"/>
      <c r="L67" s="40"/>
    </row>
    <row r="68" spans="1:12" ht="12.75" customHeight="1" x14ac:dyDescent="0.25">
      <c r="A68" s="53">
        <v>1</v>
      </c>
      <c r="B68" s="53">
        <v>2022</v>
      </c>
      <c r="C68" s="53" t="str">
        <f t="shared" si="2"/>
        <v>Income: 1</v>
      </c>
      <c r="D68" s="73" t="s">
        <v>426</v>
      </c>
      <c r="E68" s="56" t="s">
        <v>49</v>
      </c>
      <c r="F68" s="58">
        <v>1975</v>
      </c>
      <c r="G68" s="58">
        <v>0</v>
      </c>
      <c r="H68" s="58">
        <f t="shared" si="3"/>
        <v>-2.7999999988423951E-3</v>
      </c>
      <c r="I68" s="40">
        <v>3363</v>
      </c>
      <c r="J68" s="40"/>
      <c r="K68" s="41"/>
      <c r="L68" s="41"/>
    </row>
    <row r="69" spans="1:12" ht="12.75" customHeight="1" x14ac:dyDescent="0.2">
      <c r="A69" s="53">
        <v>2</v>
      </c>
      <c r="B69" s="53">
        <v>2022</v>
      </c>
      <c r="C69" s="53" t="str">
        <f t="shared" ref="C69:C92" si="4">IFERROR("Late Fee "&amp;FIND("Late Fee",E69),IFERROR("Internet "&amp;FIND("Internet",E69),IFERROR("Utilities "&amp;FIND("Utilities",E69),IFERROR("Rent: "&amp;FIND("Rent",E69),IFERROR("Priv Tax: "&amp;FIND("Tax",E69),IFERROR("Income: "&amp;FIND("Payment",E69,1),""))))))</f>
        <v>Rent: 1</v>
      </c>
      <c r="D69" s="73" t="s">
        <v>429</v>
      </c>
      <c r="E69" s="53" t="s">
        <v>199</v>
      </c>
      <c r="F69" s="58">
        <v>0</v>
      </c>
      <c r="G69" s="58">
        <v>1975</v>
      </c>
      <c r="H69" s="58">
        <f t="shared" si="3"/>
        <v>1974.9972000000012</v>
      </c>
      <c r="I69" s="40">
        <v>3364</v>
      </c>
      <c r="J69" s="40"/>
      <c r="K69" s="40"/>
      <c r="L69" s="40"/>
    </row>
    <row r="70" spans="1:12" ht="12.75" customHeight="1" x14ac:dyDescent="0.25">
      <c r="A70" s="53">
        <v>2</v>
      </c>
      <c r="B70" s="53">
        <v>2022</v>
      </c>
      <c r="C70" s="53" t="str">
        <f t="shared" si="4"/>
        <v>Income: 1</v>
      </c>
      <c r="D70" s="73" t="s">
        <v>429</v>
      </c>
      <c r="E70" s="56" t="s">
        <v>49</v>
      </c>
      <c r="F70" s="58">
        <v>1975</v>
      </c>
      <c r="G70" s="58">
        <v>0</v>
      </c>
      <c r="H70" s="58">
        <f t="shared" ref="H70:H92" si="5" xml:space="preserve"> H69 + G70 - F70</f>
        <v>-2.7999999988423951E-3</v>
      </c>
      <c r="I70" s="43">
        <v>3365</v>
      </c>
      <c r="J70" s="43"/>
      <c r="K70" s="43"/>
      <c r="L70" s="40"/>
    </row>
    <row r="71" spans="1:12" ht="12.75" customHeight="1" x14ac:dyDescent="0.2">
      <c r="A71" s="53">
        <v>3</v>
      </c>
      <c r="B71" s="53">
        <v>2022</v>
      </c>
      <c r="C71" s="53" t="str">
        <f t="shared" si="4"/>
        <v>Rent: 1</v>
      </c>
      <c r="D71" s="73" t="s">
        <v>431</v>
      </c>
      <c r="E71" s="53" t="s">
        <v>202</v>
      </c>
      <c r="F71" s="58">
        <v>0</v>
      </c>
      <c r="G71" s="58">
        <v>1975</v>
      </c>
      <c r="H71" s="58">
        <f t="shared" si="5"/>
        <v>1974.9972000000012</v>
      </c>
      <c r="I71" s="40">
        <v>3366</v>
      </c>
      <c r="J71" s="45"/>
      <c r="K71" s="43"/>
      <c r="L71" s="41"/>
    </row>
    <row r="72" spans="1:12" ht="12.75" customHeight="1" x14ac:dyDescent="0.25">
      <c r="A72" s="53">
        <v>3</v>
      </c>
      <c r="B72" s="53">
        <v>2022</v>
      </c>
      <c r="C72" s="53" t="str">
        <f t="shared" si="4"/>
        <v>Income: 1</v>
      </c>
      <c r="D72" s="73" t="s">
        <v>431</v>
      </c>
      <c r="E72" s="56" t="s">
        <v>49</v>
      </c>
      <c r="F72" s="58">
        <v>1975</v>
      </c>
      <c r="G72" s="58">
        <v>0</v>
      </c>
      <c r="H72" s="58">
        <f t="shared" si="5"/>
        <v>-2.7999999988423951E-3</v>
      </c>
      <c r="I72" s="40">
        <v>3367</v>
      </c>
      <c r="J72" s="44"/>
      <c r="K72" s="45"/>
      <c r="L72" s="40"/>
    </row>
    <row r="73" spans="1:12" ht="12.75" customHeight="1" x14ac:dyDescent="0.2">
      <c r="A73" s="53">
        <v>4</v>
      </c>
      <c r="B73" s="53">
        <v>2022</v>
      </c>
      <c r="C73" s="53" t="str">
        <f t="shared" si="4"/>
        <v>Rent: 1</v>
      </c>
      <c r="D73" s="73" t="s">
        <v>433</v>
      </c>
      <c r="E73" s="53" t="s">
        <v>205</v>
      </c>
      <c r="F73" s="58">
        <v>0</v>
      </c>
      <c r="G73" s="58">
        <v>1975</v>
      </c>
      <c r="H73" s="58">
        <f t="shared" si="5"/>
        <v>1974.9972000000012</v>
      </c>
      <c r="I73" s="45">
        <v>3368</v>
      </c>
      <c r="J73" s="41"/>
      <c r="K73" s="43"/>
      <c r="L73" s="40"/>
    </row>
    <row r="74" spans="1:12" ht="12.75" customHeight="1" x14ac:dyDescent="0.25">
      <c r="A74" s="53">
        <v>4</v>
      </c>
      <c r="B74" s="53">
        <v>2022</v>
      </c>
      <c r="C74" s="53" t="str">
        <f t="shared" si="4"/>
        <v>Income: 1</v>
      </c>
      <c r="D74" s="73" t="s">
        <v>433</v>
      </c>
      <c r="E74" s="56" t="s">
        <v>49</v>
      </c>
      <c r="F74" s="58">
        <v>1975</v>
      </c>
      <c r="G74" s="58">
        <v>0</v>
      </c>
      <c r="H74" s="58">
        <f t="shared" si="5"/>
        <v>-2.7999999988423951E-3</v>
      </c>
      <c r="I74" s="43">
        <v>3369</v>
      </c>
      <c r="J74" s="43"/>
      <c r="K74" s="43"/>
      <c r="L74" s="41"/>
    </row>
    <row r="75" spans="1:12" ht="12.75" customHeight="1" x14ac:dyDescent="0.2">
      <c r="A75" s="53">
        <v>5</v>
      </c>
      <c r="B75" s="53">
        <v>2022</v>
      </c>
      <c r="C75" s="53" t="str">
        <f t="shared" si="4"/>
        <v>Rent: 1</v>
      </c>
      <c r="D75" s="73" t="s">
        <v>435</v>
      </c>
      <c r="E75" s="53" t="s">
        <v>208</v>
      </c>
      <c r="F75" s="58">
        <v>0</v>
      </c>
      <c r="G75" s="58">
        <v>1975</v>
      </c>
      <c r="H75" s="58">
        <f t="shared" si="5"/>
        <v>1974.9972000000012</v>
      </c>
      <c r="I75" s="40">
        <v>3370</v>
      </c>
      <c r="J75" s="40"/>
      <c r="K75" s="43"/>
      <c r="L75" s="40"/>
    </row>
    <row r="76" spans="1:12" ht="12.75" customHeight="1" x14ac:dyDescent="0.25">
      <c r="A76" s="53">
        <v>5</v>
      </c>
      <c r="B76" s="53">
        <v>2022</v>
      </c>
      <c r="C76" s="53" t="str">
        <f t="shared" si="4"/>
        <v>Income: 1</v>
      </c>
      <c r="D76" s="73" t="s">
        <v>435</v>
      </c>
      <c r="E76" s="56" t="s">
        <v>49</v>
      </c>
      <c r="F76" s="58">
        <v>1975</v>
      </c>
      <c r="G76" s="58">
        <v>0</v>
      </c>
      <c r="H76" s="58">
        <f t="shared" si="5"/>
        <v>-2.7999999988423951E-3</v>
      </c>
      <c r="I76" s="40">
        <v>3371</v>
      </c>
      <c r="J76" s="41"/>
      <c r="K76" s="43"/>
      <c r="L76" s="40"/>
    </row>
    <row r="77" spans="1:12" ht="12.75" customHeight="1" x14ac:dyDescent="0.2">
      <c r="A77" s="53">
        <v>6</v>
      </c>
      <c r="B77" s="53">
        <v>2022</v>
      </c>
      <c r="C77" s="53" t="str">
        <f t="shared" si="4"/>
        <v>Rent: 1</v>
      </c>
      <c r="D77" s="73" t="s">
        <v>437</v>
      </c>
      <c r="E77" s="53" t="s">
        <v>211</v>
      </c>
      <c r="F77" s="58">
        <v>0</v>
      </c>
      <c r="G77" s="58">
        <v>1975</v>
      </c>
      <c r="H77" s="58">
        <f t="shared" si="5"/>
        <v>1974.9972000000012</v>
      </c>
      <c r="I77" s="40">
        <v>3372</v>
      </c>
      <c r="J77" s="40"/>
      <c r="K77" s="41"/>
      <c r="L77" s="41"/>
    </row>
    <row r="78" spans="1:12" ht="12.75" customHeight="1" x14ac:dyDescent="0.25">
      <c r="A78" s="53">
        <v>6</v>
      </c>
      <c r="B78" s="53">
        <v>2022</v>
      </c>
      <c r="C78" s="53" t="str">
        <f t="shared" si="4"/>
        <v>Income: 1</v>
      </c>
      <c r="D78" s="73" t="s">
        <v>437</v>
      </c>
      <c r="E78" s="56" t="s">
        <v>49</v>
      </c>
      <c r="F78" s="58">
        <v>1975</v>
      </c>
      <c r="G78" s="58">
        <v>0</v>
      </c>
      <c r="H78" s="58">
        <f t="shared" si="5"/>
        <v>-2.7999999988423951E-3</v>
      </c>
      <c r="I78" s="40">
        <v>3373</v>
      </c>
      <c r="J78" s="40"/>
      <c r="K78" s="40"/>
      <c r="L78" s="40"/>
    </row>
    <row r="79" spans="1:12" ht="12.75" customHeight="1" x14ac:dyDescent="0.2">
      <c r="A79" s="53">
        <v>7</v>
      </c>
      <c r="B79" s="53">
        <v>2022</v>
      </c>
      <c r="C79" s="53" t="str">
        <f t="shared" si="4"/>
        <v>Rent: 1</v>
      </c>
      <c r="D79" s="73" t="s">
        <v>439</v>
      </c>
      <c r="E79" s="53" t="s">
        <v>214</v>
      </c>
      <c r="F79" s="58">
        <v>0</v>
      </c>
      <c r="G79" s="58">
        <v>1975</v>
      </c>
      <c r="H79" s="58">
        <f t="shared" si="5"/>
        <v>1974.9972000000012</v>
      </c>
      <c r="I79" s="43">
        <v>3374</v>
      </c>
      <c r="J79" s="43"/>
      <c r="K79" s="43"/>
      <c r="L79" s="40"/>
    </row>
    <row r="80" spans="1:12" ht="12.75" customHeight="1" x14ac:dyDescent="0.25">
      <c r="A80" s="53">
        <v>7</v>
      </c>
      <c r="B80" s="53">
        <v>2022</v>
      </c>
      <c r="C80" s="53" t="str">
        <f t="shared" si="4"/>
        <v>Income: 1</v>
      </c>
      <c r="D80" s="73" t="s">
        <v>439</v>
      </c>
      <c r="E80" s="56" t="s">
        <v>49</v>
      </c>
      <c r="F80" s="58">
        <v>1975</v>
      </c>
      <c r="G80" s="58">
        <v>0</v>
      </c>
      <c r="H80" s="58">
        <f t="shared" si="5"/>
        <v>-2.7999999988423951E-3</v>
      </c>
      <c r="I80" s="43">
        <v>3375</v>
      </c>
      <c r="J80" s="43"/>
      <c r="K80" s="41"/>
      <c r="L80" s="41"/>
    </row>
    <row r="81" spans="1:12" ht="12.75" customHeight="1" x14ac:dyDescent="0.2">
      <c r="A81" s="53">
        <v>8</v>
      </c>
      <c r="B81" s="53">
        <v>2022</v>
      </c>
      <c r="C81" s="53" t="str">
        <f t="shared" si="4"/>
        <v>Rent: 1</v>
      </c>
      <c r="D81" s="73" t="s">
        <v>441</v>
      </c>
      <c r="E81" s="53" t="s">
        <v>217</v>
      </c>
      <c r="F81" s="58">
        <v>0</v>
      </c>
      <c r="G81" s="58">
        <v>2125</v>
      </c>
      <c r="H81" s="58">
        <f t="shared" si="5"/>
        <v>2124.9972000000012</v>
      </c>
      <c r="I81" s="43">
        <v>3376</v>
      </c>
      <c r="J81" s="43"/>
      <c r="K81" s="43"/>
      <c r="L81" s="40"/>
    </row>
    <row r="82" spans="1:12" ht="12.75" customHeight="1" x14ac:dyDescent="0.25">
      <c r="A82" s="53">
        <v>8</v>
      </c>
      <c r="B82" s="53">
        <v>2022</v>
      </c>
      <c r="C82" s="53" t="str">
        <f t="shared" si="4"/>
        <v>Income: 1</v>
      </c>
      <c r="D82" s="73" t="s">
        <v>478</v>
      </c>
      <c r="E82" s="56" t="s">
        <v>49</v>
      </c>
      <c r="F82" s="58">
        <v>2125</v>
      </c>
      <c r="G82" s="58">
        <v>0</v>
      </c>
      <c r="H82" s="58">
        <f t="shared" si="5"/>
        <v>-2.7999999988423951E-3</v>
      </c>
      <c r="I82" s="40">
        <v>3377</v>
      </c>
      <c r="J82" s="45"/>
      <c r="K82" s="43"/>
      <c r="L82" s="40"/>
    </row>
    <row r="83" spans="1:12" ht="12.75" customHeight="1" x14ac:dyDescent="0.2">
      <c r="A83" s="53">
        <v>9</v>
      </c>
      <c r="B83" s="53">
        <v>2022</v>
      </c>
      <c r="C83" s="53" t="str">
        <f t="shared" si="4"/>
        <v>Rent: 1</v>
      </c>
      <c r="D83" s="73" t="s">
        <v>442</v>
      </c>
      <c r="E83" s="53" t="s">
        <v>220</v>
      </c>
      <c r="F83" s="58">
        <v>0</v>
      </c>
      <c r="G83" s="58">
        <v>2125</v>
      </c>
      <c r="H83" s="58">
        <f t="shared" si="5"/>
        <v>2124.9972000000012</v>
      </c>
      <c r="I83" s="40">
        <v>3378</v>
      </c>
      <c r="J83" s="44"/>
      <c r="K83" s="45"/>
      <c r="L83" s="41"/>
    </row>
    <row r="84" spans="1:12" ht="12.75" customHeight="1" x14ac:dyDescent="0.25">
      <c r="A84" s="53">
        <v>9</v>
      </c>
      <c r="B84" s="53">
        <v>2022</v>
      </c>
      <c r="C84" s="53" t="str">
        <f t="shared" si="4"/>
        <v>Income: 1</v>
      </c>
      <c r="D84" s="73" t="s">
        <v>442</v>
      </c>
      <c r="E84" s="56" t="s">
        <v>49</v>
      </c>
      <c r="F84" s="58">
        <v>2125</v>
      </c>
      <c r="G84" s="58">
        <v>0</v>
      </c>
      <c r="H84" s="58">
        <f t="shared" si="5"/>
        <v>-2.7999999988423951E-3</v>
      </c>
      <c r="I84" s="40">
        <v>3379</v>
      </c>
      <c r="J84" s="40"/>
      <c r="K84" s="43"/>
      <c r="L84" s="40"/>
    </row>
    <row r="85" spans="1:12" ht="12.75" customHeight="1" x14ac:dyDescent="0.2">
      <c r="A85" s="53">
        <v>10</v>
      </c>
      <c r="B85" s="53">
        <v>2022</v>
      </c>
      <c r="C85" s="53" t="str">
        <f t="shared" si="4"/>
        <v>Rent: 1</v>
      </c>
      <c r="D85" s="73" t="s">
        <v>445</v>
      </c>
      <c r="E85" s="53" t="s">
        <v>223</v>
      </c>
      <c r="F85" s="58">
        <v>0</v>
      </c>
      <c r="G85" s="58">
        <v>2125</v>
      </c>
      <c r="H85" s="58">
        <f t="shared" si="5"/>
        <v>2124.9972000000012</v>
      </c>
      <c r="I85" s="40">
        <v>3380</v>
      </c>
      <c r="J85" s="41"/>
      <c r="K85" s="41"/>
      <c r="L85" s="40"/>
    </row>
    <row r="86" spans="1:12" ht="12.75" customHeight="1" x14ac:dyDescent="0.25">
      <c r="A86" s="53">
        <v>10</v>
      </c>
      <c r="B86" s="53">
        <v>2022</v>
      </c>
      <c r="C86" s="53" t="str">
        <f t="shared" si="4"/>
        <v>Income: 1</v>
      </c>
      <c r="D86" s="73" t="s">
        <v>445</v>
      </c>
      <c r="E86" s="56" t="s">
        <v>49</v>
      </c>
      <c r="F86" s="58">
        <v>2125</v>
      </c>
      <c r="G86" s="58">
        <v>0</v>
      </c>
      <c r="H86" s="58">
        <f t="shared" si="5"/>
        <v>-2.7999999988423951E-3</v>
      </c>
      <c r="I86" s="40">
        <v>3381</v>
      </c>
      <c r="J86" s="41"/>
      <c r="K86" s="43"/>
      <c r="L86" s="40"/>
    </row>
    <row r="87" spans="1:12" ht="12.75" customHeight="1" x14ac:dyDescent="0.2">
      <c r="A87" s="53">
        <v>11</v>
      </c>
      <c r="B87" s="53">
        <v>2022</v>
      </c>
      <c r="C87" s="53" t="str">
        <f t="shared" si="4"/>
        <v>Rent: 1</v>
      </c>
      <c r="D87" s="73" t="s">
        <v>448</v>
      </c>
      <c r="E87" s="53" t="s">
        <v>226</v>
      </c>
      <c r="F87" s="58">
        <v>0</v>
      </c>
      <c r="G87" s="58">
        <v>2125</v>
      </c>
      <c r="H87" s="58">
        <f t="shared" si="5"/>
        <v>2124.9972000000012</v>
      </c>
      <c r="I87" s="40">
        <v>3382</v>
      </c>
      <c r="J87" s="44"/>
      <c r="K87" s="41"/>
      <c r="L87" s="41"/>
    </row>
    <row r="88" spans="1:12" ht="12.75" customHeight="1" x14ac:dyDescent="0.25">
      <c r="A88" s="53">
        <v>11</v>
      </c>
      <c r="B88" s="53">
        <v>2022</v>
      </c>
      <c r="C88" s="53" t="str">
        <f t="shared" si="4"/>
        <v>Income: 1</v>
      </c>
      <c r="D88" s="73" t="s">
        <v>448</v>
      </c>
      <c r="E88" s="56" t="s">
        <v>49</v>
      </c>
      <c r="F88" s="58">
        <v>2125</v>
      </c>
      <c r="G88" s="58">
        <v>0</v>
      </c>
      <c r="H88" s="58">
        <f t="shared" si="5"/>
        <v>-2.7999999988423951E-3</v>
      </c>
      <c r="I88" s="40">
        <v>3383</v>
      </c>
      <c r="J88" s="40"/>
      <c r="K88" s="40"/>
      <c r="L88" s="40"/>
    </row>
    <row r="89" spans="1:12" ht="12.75" customHeight="1" x14ac:dyDescent="0.2">
      <c r="A89" s="53">
        <v>12</v>
      </c>
      <c r="B89" s="53">
        <v>2022</v>
      </c>
      <c r="C89" s="53" t="str">
        <f t="shared" si="4"/>
        <v>Rent: 1</v>
      </c>
      <c r="D89" s="73" t="s">
        <v>450</v>
      </c>
      <c r="E89" s="53" t="s">
        <v>229</v>
      </c>
      <c r="F89" s="58">
        <v>0</v>
      </c>
      <c r="G89" s="58">
        <v>2125</v>
      </c>
      <c r="H89" s="58">
        <f t="shared" si="5"/>
        <v>2124.9972000000012</v>
      </c>
      <c r="I89" s="40">
        <v>3384</v>
      </c>
      <c r="J89" s="40"/>
      <c r="K89" s="40"/>
      <c r="L89" s="40"/>
    </row>
    <row r="90" spans="1:12" ht="12.75" customHeight="1" x14ac:dyDescent="0.25">
      <c r="A90" s="53">
        <v>12</v>
      </c>
      <c r="B90" s="53">
        <v>2022</v>
      </c>
      <c r="C90" s="53" t="str">
        <f t="shared" si="4"/>
        <v>Income: 1</v>
      </c>
      <c r="D90" s="73" t="s">
        <v>514</v>
      </c>
      <c r="E90" s="56" t="s">
        <v>49</v>
      </c>
      <c r="F90" s="58">
        <v>2125</v>
      </c>
      <c r="G90" s="58">
        <v>0</v>
      </c>
      <c r="H90" s="58">
        <f t="shared" si="5"/>
        <v>-2.7999999988423951E-3</v>
      </c>
      <c r="I90" s="40">
        <v>3385</v>
      </c>
      <c r="J90" s="40"/>
      <c r="K90" s="41"/>
      <c r="L90" s="41"/>
    </row>
    <row r="91" spans="1:12" ht="12.75" customHeight="1" x14ac:dyDescent="0.2">
      <c r="A91" s="53">
        <v>1</v>
      </c>
      <c r="B91" s="53">
        <v>2023</v>
      </c>
      <c r="C91" s="53" t="str">
        <f t="shared" si="4"/>
        <v>Rent: 1</v>
      </c>
      <c r="D91" s="73" t="s">
        <v>451</v>
      </c>
      <c r="E91" s="53" t="s">
        <v>452</v>
      </c>
      <c r="F91" s="58">
        <v>0</v>
      </c>
      <c r="G91" s="58">
        <v>2125</v>
      </c>
      <c r="H91" s="58">
        <f t="shared" si="5"/>
        <v>2124.9972000000012</v>
      </c>
      <c r="I91" s="40">
        <v>3386</v>
      </c>
      <c r="J91" s="40"/>
      <c r="K91" s="40"/>
      <c r="L91" s="40"/>
    </row>
    <row r="92" spans="1:12" ht="12.75" customHeight="1" x14ac:dyDescent="0.25">
      <c r="A92" s="53">
        <v>1</v>
      </c>
      <c r="B92" s="53">
        <v>2023</v>
      </c>
      <c r="C92" s="53" t="str">
        <f t="shared" si="4"/>
        <v>Income: 1</v>
      </c>
      <c r="D92" s="73" t="s">
        <v>451</v>
      </c>
      <c r="E92" s="56" t="s">
        <v>49</v>
      </c>
      <c r="F92" s="58">
        <v>2125</v>
      </c>
      <c r="G92" s="58">
        <v>0</v>
      </c>
      <c r="H92" s="58">
        <f t="shared" si="5"/>
        <v>-2.7999999988423951E-3</v>
      </c>
      <c r="I92" s="40">
        <v>3387</v>
      </c>
      <c r="J92" s="40"/>
      <c r="K92" s="40"/>
      <c r="L92" s="40"/>
    </row>
    <row r="93" spans="1:12" ht="12.75" customHeight="1" x14ac:dyDescent="0.2">
      <c r="I93" s="40"/>
      <c r="J93" s="44"/>
      <c r="K93" s="40"/>
      <c r="L93" s="41"/>
    </row>
    <row r="94" spans="1:12" ht="12.75" customHeight="1" x14ac:dyDescent="0.2">
      <c r="I94" s="40"/>
      <c r="J94" s="40"/>
      <c r="K94" s="40"/>
      <c r="L94" s="40"/>
    </row>
    <row r="95" spans="1:12" ht="12.75" customHeight="1" x14ac:dyDescent="0.2">
      <c r="I95" s="40"/>
      <c r="J95" s="41"/>
      <c r="K95" s="40"/>
      <c r="L95" s="40"/>
    </row>
    <row r="96" spans="1:12" ht="12.75" customHeight="1" x14ac:dyDescent="0.2">
      <c r="I96" s="40"/>
      <c r="J96" s="40"/>
      <c r="K96" s="40"/>
      <c r="L96" s="40"/>
    </row>
    <row r="97" spans="1:19" ht="12.75" customHeight="1" x14ac:dyDescent="0.2">
      <c r="A97" s="40"/>
      <c r="B97" s="40"/>
      <c r="C97" s="40"/>
      <c r="D97" s="77"/>
      <c r="E97" s="40"/>
      <c r="F97" s="41"/>
      <c r="G97" s="41"/>
      <c r="H97" s="41"/>
      <c r="I97" s="40"/>
      <c r="J97" s="40"/>
      <c r="K97" s="40"/>
      <c r="L97" s="40"/>
    </row>
    <row r="98" spans="1:19" ht="12.75" customHeight="1" x14ac:dyDescent="0.2">
      <c r="A98" s="40"/>
      <c r="B98" s="40"/>
      <c r="C98" s="40"/>
      <c r="D98" s="77"/>
      <c r="E98" s="40"/>
      <c r="F98" s="41"/>
      <c r="G98" s="41"/>
      <c r="H98" s="41"/>
      <c r="I98" s="40"/>
      <c r="J98" s="40"/>
      <c r="K98" s="40"/>
      <c r="L98" s="40"/>
    </row>
    <row r="99" spans="1:19" ht="12.75" customHeight="1" x14ac:dyDescent="0.25">
      <c r="A99" s="40"/>
      <c r="B99" s="40"/>
      <c r="C99" s="40"/>
      <c r="D99" s="77"/>
      <c r="E99" s="57"/>
      <c r="F99" s="41"/>
      <c r="G99" s="41"/>
      <c r="H99" s="41"/>
      <c r="I99" s="40"/>
      <c r="J99" s="40"/>
      <c r="K99" s="41"/>
      <c r="L99" s="41"/>
    </row>
    <row r="100" spans="1:19" ht="12.75" customHeight="1" x14ac:dyDescent="0.2">
      <c r="A100" s="40"/>
      <c r="B100" s="40"/>
      <c r="C100" s="40"/>
      <c r="D100" s="77"/>
      <c r="E100" s="40"/>
      <c r="F100" s="41"/>
      <c r="G100" s="41"/>
      <c r="H100" s="41"/>
      <c r="I100" s="40"/>
      <c r="J100" s="40"/>
      <c r="K100" s="40"/>
      <c r="L100" s="40"/>
    </row>
    <row r="101" spans="1:19" ht="12.75" customHeight="1" x14ac:dyDescent="0.2">
      <c r="A101" s="40"/>
      <c r="B101" s="40"/>
      <c r="C101" s="40"/>
      <c r="D101" s="77"/>
      <c r="E101" s="40"/>
      <c r="F101" s="41"/>
      <c r="G101" s="41"/>
      <c r="H101" s="41"/>
      <c r="I101" s="40"/>
      <c r="J101" s="40"/>
      <c r="K101" s="40"/>
      <c r="L101" s="40"/>
    </row>
    <row r="102" spans="1:19" ht="12.75" customHeight="1" x14ac:dyDescent="0.25">
      <c r="A102" s="40"/>
      <c r="B102" s="40"/>
      <c r="C102" s="40"/>
      <c r="D102" s="77"/>
      <c r="E102" s="57"/>
      <c r="F102" s="41"/>
      <c r="G102" s="41"/>
      <c r="H102" s="41"/>
      <c r="I102" s="40"/>
      <c r="J102" s="41"/>
      <c r="K102" s="41"/>
      <c r="L102" s="40"/>
    </row>
    <row r="103" spans="1:19" ht="12.75" customHeight="1" x14ac:dyDescent="0.2">
      <c r="A103" s="40"/>
      <c r="B103" s="40"/>
      <c r="C103" s="40"/>
      <c r="D103" s="77"/>
      <c r="F103" s="41"/>
      <c r="G103" s="41"/>
      <c r="H103" s="41"/>
      <c r="I103" s="40"/>
      <c r="J103" s="40"/>
      <c r="K103" s="40"/>
      <c r="L103" s="40"/>
    </row>
    <row r="104" spans="1:19" ht="12.75" customHeight="1" x14ac:dyDescent="0.2">
      <c r="A104" s="40"/>
      <c r="B104" s="40"/>
      <c r="C104" s="40"/>
      <c r="D104" s="77"/>
      <c r="E104" s="40"/>
      <c r="F104" s="41"/>
      <c r="G104" s="41"/>
      <c r="H104" s="41"/>
      <c r="I104" s="40"/>
      <c r="J104" s="40"/>
      <c r="K104" s="40"/>
      <c r="L104" s="40"/>
      <c r="S104" s="40"/>
    </row>
    <row r="105" spans="1:19" ht="12.75" customHeight="1" x14ac:dyDescent="0.2">
      <c r="A105" s="40"/>
      <c r="B105" s="40"/>
      <c r="C105" s="40"/>
      <c r="D105" s="77"/>
      <c r="E105" s="40"/>
      <c r="F105" s="41"/>
      <c r="G105" s="41"/>
      <c r="H105" s="41"/>
      <c r="I105" s="40"/>
      <c r="J105" s="40"/>
      <c r="K105" s="40"/>
      <c r="L105" s="40"/>
    </row>
    <row r="106" spans="1:19" ht="12.75" customHeight="1" x14ac:dyDescent="0.25">
      <c r="A106" s="40"/>
      <c r="B106" s="40"/>
      <c r="C106" s="40"/>
      <c r="D106" s="77"/>
      <c r="E106" s="57"/>
      <c r="F106" s="41"/>
      <c r="G106" s="41"/>
      <c r="H106" s="41"/>
      <c r="I106" s="40"/>
      <c r="J106" s="40"/>
      <c r="K106" s="40"/>
      <c r="L106" s="40"/>
    </row>
    <row r="107" spans="1:19" ht="12.75" customHeight="1" x14ac:dyDescent="0.2">
      <c r="A107" s="40"/>
      <c r="B107" s="40"/>
      <c r="C107" s="40"/>
      <c r="D107" s="77"/>
      <c r="E107" s="40"/>
      <c r="F107" s="41"/>
      <c r="G107" s="41"/>
      <c r="H107" s="41"/>
      <c r="I107" s="40"/>
      <c r="J107" s="45"/>
      <c r="K107" s="41"/>
      <c r="L107" s="40"/>
    </row>
    <row r="108" spans="1:19" ht="12.75" customHeight="1" x14ac:dyDescent="0.2">
      <c r="A108" s="40"/>
      <c r="B108" s="40"/>
      <c r="C108" s="40"/>
      <c r="D108" s="77"/>
      <c r="E108" s="40"/>
      <c r="F108" s="41"/>
      <c r="G108" s="41"/>
      <c r="H108" s="41"/>
      <c r="I108" s="40"/>
      <c r="J108" s="44"/>
      <c r="K108" s="41"/>
      <c r="L108" s="40"/>
    </row>
    <row r="109" spans="1:19" ht="12.75" customHeight="1" x14ac:dyDescent="0.25">
      <c r="A109" s="40"/>
      <c r="B109" s="40"/>
      <c r="C109" s="40"/>
      <c r="D109" s="77"/>
      <c r="E109" s="57"/>
      <c r="F109" s="41"/>
      <c r="G109" s="41"/>
      <c r="H109" s="41"/>
      <c r="I109" s="40"/>
      <c r="J109" s="40"/>
      <c r="K109" s="40"/>
      <c r="L109" s="40"/>
    </row>
    <row r="110" spans="1:19" ht="12.75" customHeight="1" x14ac:dyDescent="0.2">
      <c r="A110" s="40"/>
      <c r="B110" s="40"/>
      <c r="C110" s="40"/>
      <c r="D110" s="77"/>
      <c r="E110" s="40"/>
      <c r="F110" s="41"/>
      <c r="G110" s="41"/>
      <c r="H110" s="41"/>
      <c r="I110" s="40"/>
      <c r="J110" s="40"/>
      <c r="K110" s="40"/>
      <c r="L110" s="40"/>
    </row>
    <row r="111" spans="1:19" ht="12.75" customHeight="1" x14ac:dyDescent="0.2">
      <c r="A111" s="40"/>
      <c r="B111" s="40"/>
      <c r="C111" s="40"/>
      <c r="D111" s="77"/>
      <c r="E111" s="40"/>
      <c r="F111" s="41"/>
      <c r="G111" s="41"/>
      <c r="H111" s="41"/>
      <c r="I111" s="40"/>
      <c r="J111" s="40"/>
      <c r="K111" s="40"/>
      <c r="L111" s="40"/>
    </row>
    <row r="112" spans="1:19" ht="12.75" customHeight="1" x14ac:dyDescent="0.25">
      <c r="A112" s="40"/>
      <c r="B112" s="40"/>
      <c r="C112" s="40"/>
      <c r="D112" s="77"/>
      <c r="E112" s="57"/>
      <c r="F112" s="41"/>
      <c r="G112" s="41"/>
      <c r="H112" s="41"/>
      <c r="I112" s="40"/>
      <c r="J112" s="41"/>
      <c r="K112" s="40"/>
      <c r="L112" s="40"/>
    </row>
    <row r="113" spans="1:14" ht="12.75" customHeight="1" x14ac:dyDescent="0.2">
      <c r="A113" s="40"/>
      <c r="B113" s="40"/>
      <c r="C113" s="40"/>
      <c r="D113" s="77"/>
      <c r="E113" s="40"/>
      <c r="F113" s="41"/>
      <c r="G113" s="41"/>
      <c r="H113" s="41"/>
      <c r="I113" s="40"/>
      <c r="J113" s="40"/>
      <c r="K113" s="40"/>
      <c r="L113" s="40"/>
    </row>
    <row r="114" spans="1:14" ht="12.75" customHeight="1" x14ac:dyDescent="0.2">
      <c r="A114" s="40"/>
      <c r="B114" s="40"/>
      <c r="C114" s="40"/>
      <c r="D114" s="77"/>
      <c r="E114" s="40"/>
      <c r="F114" s="41"/>
      <c r="G114" s="41"/>
      <c r="H114" s="41"/>
      <c r="I114" s="40"/>
      <c r="J114" s="40"/>
      <c r="K114" s="40"/>
      <c r="L114" s="40"/>
    </row>
    <row r="115" spans="1:14" ht="12.75" customHeight="1" x14ac:dyDescent="0.25">
      <c r="A115" s="40"/>
      <c r="B115" s="40"/>
      <c r="C115" s="40"/>
      <c r="D115" s="77"/>
      <c r="E115" s="57"/>
      <c r="F115" s="41"/>
      <c r="G115" s="41"/>
      <c r="H115" s="41"/>
      <c r="I115" s="40"/>
      <c r="J115" s="40"/>
      <c r="K115" s="40"/>
      <c r="L115" s="40"/>
    </row>
    <row r="116" spans="1:14" ht="12.75" customHeight="1" x14ac:dyDescent="0.25">
      <c r="A116" s="53"/>
      <c r="B116" s="53"/>
      <c r="C116" s="53"/>
      <c r="D116" s="73"/>
      <c r="E116" s="56"/>
      <c r="F116" s="58"/>
      <c r="G116" s="58"/>
      <c r="H116" s="58"/>
      <c r="I116" s="53"/>
      <c r="J116" s="53"/>
      <c r="K116" s="53"/>
      <c r="L116" s="53"/>
      <c r="M116" s="59"/>
    </row>
    <row r="117" spans="1:14" ht="12.75" customHeight="1" x14ac:dyDescent="0.2">
      <c r="A117" s="53"/>
      <c r="B117" s="53"/>
      <c r="C117" s="53"/>
      <c r="D117" s="79"/>
      <c r="E117" s="53"/>
      <c r="F117" s="58"/>
      <c r="G117" s="58"/>
      <c r="H117" s="58"/>
      <c r="I117" s="59"/>
      <c r="J117" s="59"/>
      <c r="K117" s="59"/>
      <c r="L117" s="59"/>
      <c r="M117" s="59"/>
    </row>
    <row r="118" spans="1:14" ht="12.75" customHeight="1" x14ac:dyDescent="0.2">
      <c r="A118" s="59"/>
      <c r="B118" s="59"/>
      <c r="C118" s="59"/>
      <c r="D118" s="75"/>
      <c r="E118" s="59"/>
      <c r="F118" s="59"/>
      <c r="G118" s="59"/>
      <c r="H118" s="59"/>
      <c r="I118" s="59"/>
      <c r="J118" s="59"/>
      <c r="K118" s="59"/>
      <c r="L118" s="59"/>
      <c r="M118" s="59"/>
    </row>
    <row r="119" spans="1:14" ht="12.75" customHeight="1" x14ac:dyDescent="0.2">
      <c r="I119" s="53"/>
      <c r="J119" s="53"/>
      <c r="K119" s="53"/>
      <c r="L119" s="53"/>
      <c r="M119" s="59"/>
    </row>
    <row r="120" spans="1:14" ht="12.75" customHeight="1" x14ac:dyDescent="0.2">
      <c r="I120" s="59"/>
      <c r="J120" s="53"/>
      <c r="K120" s="53"/>
      <c r="L120" s="53"/>
      <c r="M120" s="58"/>
      <c r="N120" s="31"/>
    </row>
    <row r="121" spans="1:14" ht="12.75" customHeight="1" x14ac:dyDescent="0.2">
      <c r="I121" s="59"/>
      <c r="J121" s="59"/>
      <c r="K121" s="59"/>
      <c r="L121" s="59"/>
      <c r="M121" s="59"/>
    </row>
    <row r="122" spans="1:14" ht="12.75" customHeight="1" x14ac:dyDescent="0.2">
      <c r="I122" s="59"/>
      <c r="J122" s="59"/>
      <c r="K122" s="59"/>
      <c r="L122" s="59"/>
      <c r="M122" s="59"/>
    </row>
    <row r="123" spans="1:14" ht="12.75" customHeight="1" x14ac:dyDescent="0.2">
      <c r="I123" s="59"/>
      <c r="J123" s="59"/>
      <c r="K123" s="59"/>
      <c r="L123" s="59"/>
      <c r="M123" s="59"/>
    </row>
    <row r="124" spans="1:14" ht="12.75" customHeight="1" x14ac:dyDescent="0.2">
      <c r="I124" s="59"/>
      <c r="J124" s="59"/>
      <c r="K124" s="59"/>
      <c r="L124" s="59"/>
      <c r="M124" s="59"/>
    </row>
    <row r="125" spans="1:14" ht="12.75" customHeight="1" x14ac:dyDescent="0.2">
      <c r="I125" s="59"/>
      <c r="J125" s="59"/>
      <c r="K125" s="59"/>
      <c r="L125" s="59"/>
      <c r="M125" s="59"/>
    </row>
    <row r="126" spans="1:14" ht="12.75" customHeight="1" x14ac:dyDescent="0.2">
      <c r="I126" s="59"/>
      <c r="J126" s="59"/>
      <c r="K126" s="59"/>
      <c r="L126" s="59"/>
      <c r="M126" s="59"/>
    </row>
    <row r="127" spans="1:14" ht="12.75" customHeight="1" x14ac:dyDescent="0.2">
      <c r="I127" s="59"/>
      <c r="J127" s="59"/>
      <c r="K127" s="59"/>
      <c r="L127" s="59"/>
      <c r="M127" s="59"/>
    </row>
    <row r="128" spans="1:14" ht="12.75" customHeight="1" x14ac:dyDescent="0.2">
      <c r="I128" s="59"/>
      <c r="J128" s="59"/>
      <c r="K128" s="59"/>
      <c r="L128" s="59"/>
      <c r="M128" s="59"/>
    </row>
    <row r="129" spans="9:13" ht="12.75" customHeight="1" x14ac:dyDescent="0.2">
      <c r="I129" s="59"/>
      <c r="J129" s="59"/>
      <c r="K129" s="59"/>
      <c r="L129" s="59"/>
      <c r="M129" s="59"/>
    </row>
    <row r="130" spans="9:13" ht="12.75" customHeight="1" x14ac:dyDescent="0.2">
      <c r="I130" s="59"/>
      <c r="J130" s="59"/>
      <c r="K130" s="59"/>
      <c r="L130" s="59"/>
      <c r="M130" s="59"/>
    </row>
    <row r="131" spans="9:13" ht="12.75" customHeight="1" x14ac:dyDescent="0.2">
      <c r="I131" s="59"/>
      <c r="J131" s="59"/>
      <c r="K131" s="59"/>
      <c r="L131" s="59"/>
      <c r="M131" s="59"/>
    </row>
    <row r="132" spans="9:13" ht="12.75" customHeight="1" x14ac:dyDescent="0.2">
      <c r="I132" s="59"/>
      <c r="J132" s="59"/>
      <c r="K132" s="59"/>
      <c r="L132" s="59"/>
      <c r="M132" s="59"/>
    </row>
    <row r="133" spans="9:13" ht="12.75" customHeight="1" x14ac:dyDescent="0.2">
      <c r="I133" s="59"/>
      <c r="J133" s="59"/>
      <c r="K133" s="59"/>
      <c r="L133" s="59"/>
      <c r="M133" s="59"/>
    </row>
    <row r="134" spans="9:13" ht="12.75" customHeight="1" x14ac:dyDescent="0.2">
      <c r="I134" s="59"/>
      <c r="J134" s="59"/>
      <c r="K134" s="59"/>
      <c r="L134" s="59"/>
      <c r="M134" s="59"/>
    </row>
    <row r="135" spans="9:13" ht="12.75" customHeight="1" x14ac:dyDescent="0.2">
      <c r="I135" s="59"/>
      <c r="J135" s="59"/>
      <c r="K135" s="59"/>
      <c r="L135" s="59"/>
      <c r="M135" s="59"/>
    </row>
    <row r="136" spans="9:13" ht="12.75" customHeight="1" x14ac:dyDescent="0.2">
      <c r="I136" s="59"/>
      <c r="J136" s="59"/>
      <c r="K136" s="59"/>
      <c r="L136" s="59"/>
      <c r="M136" s="59"/>
    </row>
    <row r="137" spans="9:13" ht="12.75" customHeight="1" x14ac:dyDescent="0.2">
      <c r="I137" s="59"/>
      <c r="J137" s="59"/>
      <c r="K137" s="59"/>
      <c r="L137" s="59"/>
      <c r="M137" s="59"/>
    </row>
    <row r="138" spans="9:13" ht="12.75" customHeight="1" x14ac:dyDescent="0.2">
      <c r="I138" s="59"/>
      <c r="J138" s="59"/>
      <c r="K138" s="59"/>
      <c r="L138" s="59"/>
      <c r="M138" s="59"/>
    </row>
    <row r="139" spans="9:13" ht="12.75" customHeight="1" x14ac:dyDescent="0.2">
      <c r="I139" s="59"/>
      <c r="J139" s="59"/>
      <c r="K139" s="59"/>
      <c r="L139" s="59"/>
      <c r="M139" s="59"/>
    </row>
    <row r="140" spans="9:13" ht="12.75" customHeight="1" x14ac:dyDescent="0.2">
      <c r="I140" s="59"/>
      <c r="J140" s="59"/>
      <c r="K140" s="59"/>
      <c r="L140" s="59"/>
      <c r="M140" s="59"/>
    </row>
    <row r="141" spans="9:13" ht="12.75" customHeight="1" x14ac:dyDescent="0.2">
      <c r="I141" s="59"/>
      <c r="J141" s="59"/>
      <c r="K141" s="59"/>
      <c r="L141" s="59"/>
      <c r="M141" s="59"/>
    </row>
    <row r="142" spans="9:13" ht="12.75" customHeight="1" x14ac:dyDescent="0.2">
      <c r="I142" s="59"/>
      <c r="J142" s="59"/>
      <c r="K142" s="59"/>
      <c r="L142" s="59"/>
      <c r="M142" s="59"/>
    </row>
    <row r="143" spans="9:13" ht="12.75" customHeight="1" x14ac:dyDescent="0.2">
      <c r="I143" s="59"/>
      <c r="J143" s="59"/>
      <c r="K143" s="59"/>
      <c r="L143" s="59"/>
      <c r="M143" s="59"/>
    </row>
    <row r="144" spans="9:13" ht="12.75" customHeight="1" x14ac:dyDescent="0.2">
      <c r="I144" s="59"/>
      <c r="J144" s="59"/>
      <c r="K144" s="59"/>
      <c r="L144" s="59"/>
      <c r="M144" s="59"/>
    </row>
    <row r="145" spans="9:13" ht="12.75" customHeight="1" x14ac:dyDescent="0.2">
      <c r="I145" s="59"/>
      <c r="J145" s="59"/>
      <c r="K145" s="59"/>
      <c r="L145" s="59"/>
      <c r="M145" s="59"/>
    </row>
    <row r="146" spans="9:13" ht="12.75" customHeight="1" x14ac:dyDescent="0.2">
      <c r="I146" s="59"/>
      <c r="J146" s="59"/>
      <c r="K146" s="59"/>
      <c r="L146" s="59"/>
      <c r="M146" s="59"/>
    </row>
    <row r="147" spans="9:13" ht="12.75" customHeight="1" x14ac:dyDescent="0.2">
      <c r="I147" s="59"/>
      <c r="J147" s="59"/>
      <c r="K147" s="59"/>
      <c r="L147" s="59"/>
      <c r="M147" s="59"/>
    </row>
    <row r="148" spans="9:13" ht="12.75" customHeight="1" x14ac:dyDescent="0.2">
      <c r="I148" s="59"/>
      <c r="J148" s="59"/>
      <c r="K148" s="59"/>
      <c r="L148" s="59"/>
      <c r="M148" s="59"/>
    </row>
    <row r="149" spans="9:13" ht="12.75" customHeight="1" x14ac:dyDescent="0.2">
      <c r="I149" s="59"/>
      <c r="J149" s="59"/>
      <c r="K149" s="59"/>
      <c r="L149" s="59"/>
      <c r="M149" s="59"/>
    </row>
    <row r="150" spans="9:13" ht="12.75" customHeight="1" x14ac:dyDescent="0.2">
      <c r="I150" s="59"/>
      <c r="J150" s="59"/>
      <c r="K150" s="59"/>
      <c r="L150" s="59"/>
      <c r="M150" s="59"/>
    </row>
    <row r="151" spans="9:13" ht="12.75" customHeight="1" x14ac:dyDescent="0.2">
      <c r="I151" s="59"/>
      <c r="J151" s="59"/>
      <c r="K151" s="59"/>
      <c r="L151" s="59"/>
      <c r="M151" s="59"/>
    </row>
    <row r="152" spans="9:13" ht="12.75" customHeight="1" x14ac:dyDescent="0.2">
      <c r="I152" s="59"/>
      <c r="J152" s="59"/>
      <c r="K152" s="59"/>
      <c r="L152" s="59"/>
      <c r="M152" s="59"/>
    </row>
    <row r="153" spans="9:13" ht="12.75" customHeight="1" x14ac:dyDescent="0.2">
      <c r="I153" s="59"/>
      <c r="J153" s="59"/>
      <c r="K153" s="59"/>
      <c r="L153" s="59"/>
      <c r="M153" s="59"/>
    </row>
    <row r="154" spans="9:13" ht="12.75" customHeight="1" x14ac:dyDescent="0.2">
      <c r="I154" s="59"/>
      <c r="J154" s="59"/>
      <c r="K154" s="59"/>
      <c r="L154" s="59"/>
      <c r="M154" s="59"/>
    </row>
    <row r="155" spans="9:13" ht="12.75" customHeight="1" x14ac:dyDescent="0.2">
      <c r="I155" s="59"/>
      <c r="J155" s="59"/>
      <c r="K155" s="59"/>
      <c r="L155" s="59"/>
      <c r="M155" s="59"/>
    </row>
    <row r="156" spans="9:13" ht="12.75" customHeight="1" x14ac:dyDescent="0.2">
      <c r="I156" s="59"/>
      <c r="J156" s="59"/>
      <c r="K156" s="59"/>
      <c r="L156" s="59"/>
      <c r="M156" s="59"/>
    </row>
    <row r="157" spans="9:13" ht="12.75" customHeight="1" x14ac:dyDescent="0.2">
      <c r="I157" s="59"/>
      <c r="J157" s="59"/>
      <c r="K157" s="59"/>
      <c r="L157" s="59"/>
      <c r="M157" s="59"/>
    </row>
    <row r="158" spans="9:13" ht="12.75" customHeight="1" x14ac:dyDescent="0.2">
      <c r="I158" s="59"/>
      <c r="J158" s="59"/>
      <c r="K158" s="59"/>
      <c r="L158" s="59"/>
      <c r="M158" s="59"/>
    </row>
    <row r="159" spans="9:13" ht="12.75" customHeight="1" x14ac:dyDescent="0.2">
      <c r="I159" s="59"/>
      <c r="J159" s="59"/>
      <c r="K159" s="59"/>
      <c r="L159" s="59"/>
      <c r="M159" s="59"/>
    </row>
    <row r="160" spans="9:13" ht="12.75" customHeight="1" x14ac:dyDescent="0.2">
      <c r="I160" s="59"/>
      <c r="J160" s="59"/>
      <c r="K160" s="59"/>
      <c r="L160" s="59"/>
      <c r="M160" s="59"/>
    </row>
    <row r="161" spans="9:13" ht="12.75" customHeight="1" x14ac:dyDescent="0.2">
      <c r="I161" s="59"/>
      <c r="J161" s="59"/>
      <c r="K161" s="59"/>
      <c r="L161" s="59"/>
      <c r="M161" s="59"/>
    </row>
    <row r="162" spans="9:13" ht="12.75" customHeight="1" x14ac:dyDescent="0.2">
      <c r="I162" s="59"/>
      <c r="J162" s="59"/>
      <c r="K162" s="59"/>
      <c r="L162" s="59"/>
      <c r="M162" s="59"/>
    </row>
    <row r="163" spans="9:13" ht="12.75" customHeight="1" x14ac:dyDescent="0.2">
      <c r="I163" s="59"/>
      <c r="J163" s="59"/>
      <c r="K163" s="59"/>
      <c r="L163" s="59"/>
      <c r="M163" s="59"/>
    </row>
    <row r="164" spans="9:13" ht="12.75" customHeight="1" x14ac:dyDescent="0.2">
      <c r="I164" s="59"/>
      <c r="J164" s="59"/>
      <c r="K164" s="59"/>
      <c r="L164" s="59"/>
      <c r="M164" s="59"/>
    </row>
    <row r="165" spans="9:13" ht="12.75" customHeight="1" x14ac:dyDescent="0.2">
      <c r="I165" s="59"/>
      <c r="J165" s="59"/>
      <c r="K165" s="59"/>
      <c r="L165" s="59"/>
      <c r="M165" s="59"/>
    </row>
    <row r="166" spans="9:13" ht="12.75" customHeight="1" x14ac:dyDescent="0.2">
      <c r="I166" s="59"/>
      <c r="J166" s="59"/>
      <c r="K166" s="59"/>
      <c r="L166" s="59"/>
      <c r="M166" s="59"/>
    </row>
    <row r="167" spans="9:13" ht="12.75" customHeight="1" x14ac:dyDescent="0.2">
      <c r="I167" s="59"/>
      <c r="J167" s="59"/>
      <c r="K167" s="59"/>
      <c r="L167" s="59"/>
      <c r="M167" s="59"/>
    </row>
    <row r="168" spans="9:13" ht="12.75" customHeight="1" x14ac:dyDescent="0.2">
      <c r="I168" s="59"/>
      <c r="J168" s="59"/>
      <c r="K168" s="59"/>
      <c r="L168" s="59"/>
      <c r="M168" s="59"/>
    </row>
    <row r="169" spans="9:13" ht="12.75" customHeight="1" x14ac:dyDescent="0.2">
      <c r="I169" s="59"/>
      <c r="J169" s="59"/>
      <c r="K169" s="59"/>
      <c r="L169" s="59"/>
      <c r="M169" s="59"/>
    </row>
    <row r="170" spans="9:13" ht="12.75" customHeight="1" x14ac:dyDescent="0.2">
      <c r="I170" s="59"/>
      <c r="J170" s="59"/>
      <c r="K170" s="59"/>
      <c r="L170" s="59"/>
      <c r="M170" s="59"/>
    </row>
    <row r="171" spans="9:13" ht="12.75" customHeight="1" x14ac:dyDescent="0.2">
      <c r="I171" s="59"/>
      <c r="J171" s="59"/>
      <c r="K171" s="59"/>
      <c r="L171" s="59"/>
      <c r="M171" s="59"/>
    </row>
    <row r="172" spans="9:13" ht="12.75" customHeight="1" x14ac:dyDescent="0.2">
      <c r="I172" s="59"/>
      <c r="J172" s="59"/>
      <c r="K172" s="59"/>
      <c r="L172" s="59"/>
      <c r="M172" s="59"/>
    </row>
    <row r="173" spans="9:13" ht="12.75" customHeight="1" x14ac:dyDescent="0.2">
      <c r="I173" s="59"/>
      <c r="J173" s="59"/>
      <c r="K173" s="59"/>
      <c r="L173" s="59"/>
      <c r="M173" s="59"/>
    </row>
    <row r="174" spans="9:13" ht="12.75" customHeight="1" x14ac:dyDescent="0.2">
      <c r="I174" s="59"/>
      <c r="J174" s="59"/>
      <c r="K174" s="59"/>
      <c r="L174" s="59"/>
      <c r="M174" s="59"/>
    </row>
    <row r="175" spans="9:13" ht="12.75" customHeight="1" x14ac:dyDescent="0.2">
      <c r="I175" s="59"/>
      <c r="J175" s="59"/>
      <c r="K175" s="59"/>
      <c r="L175" s="59"/>
      <c r="M175" s="59"/>
    </row>
    <row r="176" spans="9:13" ht="12.75" customHeight="1" x14ac:dyDescent="0.2">
      <c r="I176" s="59"/>
      <c r="J176" s="59"/>
      <c r="K176" s="59"/>
      <c r="L176" s="59"/>
      <c r="M176" s="59"/>
    </row>
    <row r="177" spans="9:13" ht="12.75" customHeight="1" x14ac:dyDescent="0.2">
      <c r="I177" s="59"/>
      <c r="J177" s="59"/>
      <c r="K177" s="59"/>
      <c r="L177" s="59"/>
      <c r="M177" s="59"/>
    </row>
    <row r="178" spans="9:13" ht="12.75" customHeight="1" x14ac:dyDescent="0.2">
      <c r="I178" s="59"/>
      <c r="J178" s="59"/>
      <c r="K178" s="59"/>
      <c r="L178" s="59"/>
      <c r="M178" s="59"/>
    </row>
    <row r="179" spans="9:13" ht="12.75" customHeight="1" x14ac:dyDescent="0.2">
      <c r="I179" s="59"/>
      <c r="J179" s="59"/>
      <c r="K179" s="59"/>
      <c r="L179" s="59"/>
      <c r="M179" s="59"/>
    </row>
    <row r="180" spans="9:13" ht="12.75" customHeight="1" x14ac:dyDescent="0.2">
      <c r="I180" s="59"/>
      <c r="J180" s="59"/>
      <c r="K180" s="59"/>
      <c r="L180" s="59"/>
      <c r="M180" s="59"/>
    </row>
    <row r="181" spans="9:13" ht="12.75" customHeight="1" x14ac:dyDescent="0.2">
      <c r="I181" s="59"/>
      <c r="J181" s="59"/>
      <c r="K181" s="59"/>
      <c r="L181" s="59"/>
      <c r="M181" s="59"/>
    </row>
    <row r="182" spans="9:13" ht="12.75" customHeight="1" x14ac:dyDescent="0.2">
      <c r="I182" s="59"/>
      <c r="J182" s="59"/>
      <c r="K182" s="59"/>
      <c r="L182" s="59"/>
      <c r="M182" s="59"/>
    </row>
    <row r="183" spans="9:13" ht="12.75" customHeight="1" x14ac:dyDescent="0.2">
      <c r="I183" s="59"/>
      <c r="J183" s="59"/>
      <c r="K183" s="59"/>
      <c r="L183" s="59"/>
      <c r="M183" s="59"/>
    </row>
    <row r="184" spans="9:13" ht="12.75" customHeight="1" x14ac:dyDescent="0.2">
      <c r="I184" s="59"/>
      <c r="J184" s="59"/>
      <c r="K184" s="59"/>
      <c r="L184" s="59"/>
      <c r="M184" s="59"/>
    </row>
    <row r="185" spans="9:13" ht="12.75" customHeight="1" x14ac:dyDescent="0.2">
      <c r="I185" s="59"/>
      <c r="J185" s="59"/>
      <c r="K185" s="59"/>
      <c r="L185" s="59"/>
      <c r="M185" s="59"/>
    </row>
    <row r="186" spans="9:13" ht="12.75" customHeight="1" x14ac:dyDescent="0.2">
      <c r="I186" s="59"/>
      <c r="J186" s="59"/>
      <c r="K186" s="59"/>
      <c r="L186" s="59"/>
      <c r="M186" s="59"/>
    </row>
    <row r="187" spans="9:13" ht="12.75" customHeight="1" x14ac:dyDescent="0.2">
      <c r="I187" s="59"/>
      <c r="J187" s="59"/>
      <c r="K187" s="59"/>
      <c r="L187" s="59"/>
      <c r="M187" s="59"/>
    </row>
    <row r="188" spans="9:13" ht="12.75" customHeight="1" x14ac:dyDescent="0.2">
      <c r="I188" s="59"/>
      <c r="J188" s="59"/>
      <c r="K188" s="59"/>
      <c r="L188" s="59"/>
      <c r="M188" s="59"/>
    </row>
    <row r="189" spans="9:13" ht="12.75" customHeight="1" x14ac:dyDescent="0.2">
      <c r="I189" s="59"/>
      <c r="J189" s="59"/>
      <c r="K189" s="59"/>
      <c r="L189" s="59"/>
      <c r="M189" s="59"/>
    </row>
    <row r="190" spans="9:13" ht="12.75" customHeight="1" x14ac:dyDescent="0.2">
      <c r="I190" s="59"/>
      <c r="J190" s="59"/>
      <c r="K190" s="59"/>
      <c r="L190" s="59"/>
      <c r="M190" s="59"/>
    </row>
    <row r="191" spans="9:13" ht="12.75" customHeight="1" x14ac:dyDescent="0.2">
      <c r="I191" s="59"/>
      <c r="J191" s="59"/>
      <c r="K191" s="59"/>
      <c r="L191" s="59"/>
      <c r="M191" s="59"/>
    </row>
    <row r="192" spans="9:13" ht="12.75" customHeight="1" x14ac:dyDescent="0.2">
      <c r="I192" s="59"/>
      <c r="J192" s="59"/>
      <c r="K192" s="59"/>
      <c r="L192" s="59"/>
      <c r="M192" s="59"/>
    </row>
    <row r="193" spans="1:13" ht="12.75" customHeight="1" x14ac:dyDescent="0.2">
      <c r="I193" s="59"/>
      <c r="J193" s="59"/>
      <c r="K193" s="59"/>
      <c r="L193" s="59"/>
      <c r="M193" s="59"/>
    </row>
    <row r="194" spans="1:13" ht="12.75" customHeight="1" x14ac:dyDescent="0.2">
      <c r="I194" s="59"/>
      <c r="J194" s="59"/>
      <c r="K194" s="59"/>
      <c r="L194" s="59"/>
      <c r="M194" s="59"/>
    </row>
    <row r="195" spans="1:13" ht="12.75" customHeight="1" x14ac:dyDescent="0.2">
      <c r="I195" s="59"/>
      <c r="J195" s="59"/>
      <c r="K195" s="59"/>
      <c r="L195" s="59"/>
      <c r="M195" s="59"/>
    </row>
    <row r="196" spans="1:13" ht="12.75" customHeight="1" x14ac:dyDescent="0.2">
      <c r="I196" s="59"/>
      <c r="J196" s="59"/>
      <c r="K196" s="59"/>
      <c r="L196" s="59"/>
      <c r="M196" s="59"/>
    </row>
    <row r="197" spans="1:13" ht="12.75" customHeight="1" x14ac:dyDescent="0.2">
      <c r="I197" s="59"/>
      <c r="J197" s="59"/>
      <c r="K197" s="59"/>
      <c r="L197" s="59"/>
      <c r="M197" s="59"/>
    </row>
    <row r="198" spans="1:13" ht="12.75" customHeight="1" x14ac:dyDescent="0.2">
      <c r="I198" s="59"/>
      <c r="J198" s="59"/>
      <c r="K198" s="59"/>
      <c r="L198" s="59"/>
      <c r="M198" s="59"/>
    </row>
    <row r="199" spans="1:13" ht="12.75" customHeight="1" x14ac:dyDescent="0.2">
      <c r="I199" s="59"/>
      <c r="J199" s="59"/>
      <c r="K199" s="59"/>
      <c r="L199" s="59"/>
      <c r="M199" s="59"/>
    </row>
    <row r="200" spans="1:13" ht="12.75" customHeight="1" x14ac:dyDescent="0.2">
      <c r="I200" s="59"/>
      <c r="J200" s="59"/>
      <c r="K200" s="59"/>
      <c r="L200" s="59"/>
      <c r="M200" s="59"/>
    </row>
    <row r="201" spans="1:13" ht="12.75" customHeight="1" x14ac:dyDescent="0.2">
      <c r="I201" s="59"/>
      <c r="J201" s="59"/>
      <c r="K201" s="59"/>
      <c r="L201" s="59"/>
      <c r="M201" s="59"/>
    </row>
    <row r="202" spans="1:13" ht="12.75" customHeight="1" x14ac:dyDescent="0.2">
      <c r="I202" s="59"/>
      <c r="J202" s="59"/>
      <c r="K202" s="59"/>
      <c r="L202" s="59"/>
      <c r="M202" s="59"/>
    </row>
    <row r="203" spans="1:13" ht="12.75" customHeight="1" x14ac:dyDescent="0.2">
      <c r="I203" s="59"/>
      <c r="J203" s="59"/>
      <c r="K203" s="59"/>
      <c r="L203" s="59"/>
      <c r="M203" s="59"/>
    </row>
    <row r="204" spans="1:13" ht="12.75" customHeight="1" x14ac:dyDescent="0.2">
      <c r="I204" s="59"/>
      <c r="J204" s="59"/>
      <c r="K204" s="59"/>
      <c r="L204" s="59"/>
      <c r="M204" s="59"/>
    </row>
    <row r="205" spans="1:13" ht="12.75" customHeight="1" x14ac:dyDescent="0.2">
      <c r="I205" s="59"/>
      <c r="J205" s="59"/>
      <c r="K205" s="59"/>
      <c r="L205" s="59"/>
      <c r="M205" s="59"/>
    </row>
    <row r="206" spans="1:13" ht="12.75" customHeight="1" x14ac:dyDescent="0.2">
      <c r="I206" s="59"/>
      <c r="J206" s="59"/>
      <c r="K206" s="59"/>
      <c r="L206" s="59"/>
      <c r="M206" s="59"/>
    </row>
    <row r="207" spans="1:13" ht="12.75" customHeight="1" x14ac:dyDescent="0.2">
      <c r="A207" s="59"/>
      <c r="B207" s="59"/>
      <c r="C207" s="59"/>
      <c r="D207" s="75"/>
      <c r="E207" s="59"/>
      <c r="F207" s="58"/>
      <c r="G207" s="58"/>
      <c r="H207" s="58"/>
      <c r="I207" s="59"/>
      <c r="J207" s="59"/>
      <c r="K207" s="59"/>
      <c r="L207" s="59"/>
      <c r="M207" s="59"/>
    </row>
    <row r="208" spans="1:13" ht="12.75" customHeight="1" x14ac:dyDescent="0.2">
      <c r="A208" s="59"/>
      <c r="B208" s="59"/>
      <c r="C208" s="59"/>
      <c r="D208" s="75"/>
      <c r="E208" s="59"/>
      <c r="F208" s="58"/>
      <c r="G208" s="58"/>
      <c r="H208" s="58"/>
      <c r="I208" s="59"/>
      <c r="J208" s="59"/>
      <c r="K208" s="59"/>
      <c r="L208" s="59"/>
      <c r="M208" s="59"/>
    </row>
    <row r="209" spans="1:13" ht="12.75" customHeight="1" x14ac:dyDescent="0.2">
      <c r="A209" s="59"/>
      <c r="B209" s="59"/>
      <c r="C209" s="59"/>
      <c r="D209" s="75"/>
      <c r="E209" s="59"/>
      <c r="F209" s="58"/>
      <c r="G209" s="58"/>
      <c r="H209" s="58"/>
      <c r="I209" s="59"/>
      <c r="J209" s="59"/>
      <c r="K209" s="59"/>
      <c r="L209" s="59"/>
      <c r="M209" s="59"/>
    </row>
    <row r="210" spans="1:13" ht="12.75" customHeight="1" x14ac:dyDescent="0.2">
      <c r="A210" s="59"/>
      <c r="B210" s="59"/>
      <c r="C210" s="59"/>
      <c r="D210" s="75"/>
      <c r="E210" s="59"/>
      <c r="F210" s="58"/>
      <c r="G210" s="58"/>
      <c r="H210" s="58"/>
      <c r="I210" s="59"/>
      <c r="J210" s="59"/>
      <c r="K210" s="59"/>
      <c r="L210" s="59"/>
      <c r="M210" s="59"/>
    </row>
    <row r="211" spans="1:13" ht="12.75" customHeight="1" x14ac:dyDescent="0.2">
      <c r="A211" s="59"/>
      <c r="B211" s="59"/>
      <c r="C211" s="59"/>
      <c r="D211" s="75"/>
      <c r="E211" s="59"/>
      <c r="F211" s="58"/>
      <c r="G211" s="58"/>
      <c r="H211" s="58"/>
      <c r="I211" s="59"/>
      <c r="J211" s="59"/>
      <c r="K211" s="59"/>
      <c r="L211" s="59"/>
      <c r="M211" s="59"/>
    </row>
    <row r="212" spans="1:13" ht="12.75" customHeight="1" x14ac:dyDescent="0.2">
      <c r="A212" s="59"/>
      <c r="B212" s="59"/>
      <c r="C212" s="59"/>
      <c r="D212" s="75"/>
      <c r="E212" s="59"/>
      <c r="F212" s="58"/>
      <c r="G212" s="58"/>
      <c r="H212" s="58"/>
      <c r="I212" s="59"/>
      <c r="J212" s="59"/>
      <c r="K212" s="59"/>
      <c r="L212" s="59"/>
      <c r="M212" s="59"/>
    </row>
    <row r="213" spans="1:13" ht="12.75" customHeight="1" x14ac:dyDescent="0.2">
      <c r="A213" s="59"/>
      <c r="B213" s="59"/>
      <c r="C213" s="59"/>
      <c r="D213" s="75"/>
      <c r="E213" s="59"/>
      <c r="F213" s="58"/>
      <c r="G213" s="58"/>
      <c r="H213" s="58"/>
      <c r="I213" s="59"/>
      <c r="J213" s="59"/>
      <c r="K213" s="59"/>
      <c r="L213" s="59"/>
      <c r="M213" s="59"/>
    </row>
    <row r="214" spans="1:13" ht="12.75" customHeight="1" x14ac:dyDescent="0.2">
      <c r="A214" s="59"/>
      <c r="B214" s="59"/>
      <c r="C214" s="59"/>
      <c r="D214" s="75"/>
      <c r="E214" s="59"/>
      <c r="F214" s="58"/>
      <c r="G214" s="58"/>
      <c r="H214" s="58"/>
      <c r="I214" s="59"/>
      <c r="J214" s="59"/>
      <c r="K214" s="59"/>
      <c r="L214" s="59"/>
      <c r="M214" s="59"/>
    </row>
    <row r="215" spans="1:13" ht="12.75" customHeight="1" x14ac:dyDescent="0.2">
      <c r="A215" s="59"/>
      <c r="B215" s="59"/>
      <c r="C215" s="59"/>
      <c r="D215" s="75"/>
      <c r="E215" s="59"/>
      <c r="F215" s="58"/>
      <c r="G215" s="58"/>
      <c r="H215" s="58"/>
      <c r="I215" s="59"/>
      <c r="J215" s="59"/>
      <c r="K215" s="59"/>
      <c r="L215" s="59"/>
      <c r="M215" s="59"/>
    </row>
    <row r="216" spans="1:13" ht="12.75" customHeight="1" x14ac:dyDescent="0.2">
      <c r="F216" s="31"/>
      <c r="G216" s="31"/>
      <c r="H216" s="31"/>
    </row>
    <row r="217" spans="1:13" ht="12.75" customHeight="1" x14ac:dyDescent="0.2">
      <c r="F217" s="31"/>
      <c r="G217" s="31"/>
      <c r="H217" s="31"/>
    </row>
    <row r="218" spans="1:13" ht="12.75" customHeight="1" x14ac:dyDescent="0.2">
      <c r="F218" s="31"/>
      <c r="G218" s="31"/>
      <c r="H218" s="31"/>
    </row>
    <row r="219" spans="1:13" ht="12.75" customHeight="1" x14ac:dyDescent="0.2">
      <c r="F219" s="31"/>
      <c r="G219" s="31"/>
      <c r="H219" s="31"/>
    </row>
    <row r="220" spans="1:13" ht="12.75" customHeight="1" x14ac:dyDescent="0.2">
      <c r="F220" s="31"/>
      <c r="G220" s="31"/>
      <c r="H220" s="31"/>
    </row>
    <row r="221" spans="1:13" ht="12.75" customHeight="1" x14ac:dyDescent="0.2">
      <c r="F221" s="31"/>
      <c r="G221" s="31"/>
      <c r="H221" s="31"/>
    </row>
    <row r="222" spans="1:13" ht="12.75" customHeight="1" x14ac:dyDescent="0.2">
      <c r="F222" s="31"/>
      <c r="G222" s="31"/>
      <c r="H222" s="31"/>
    </row>
    <row r="223" spans="1:13" ht="12.75" customHeight="1" x14ac:dyDescent="0.2">
      <c r="F223" s="31"/>
      <c r="G223" s="31"/>
      <c r="H223" s="31"/>
    </row>
    <row r="224" spans="1:13" ht="12.75" customHeight="1" x14ac:dyDescent="0.2">
      <c r="F224" s="31"/>
      <c r="G224" s="31"/>
      <c r="H224" s="31"/>
    </row>
    <row r="225" spans="6:8" ht="12.75" customHeight="1" x14ac:dyDescent="0.2">
      <c r="F225" s="31"/>
      <c r="G225" s="31"/>
      <c r="H225" s="31"/>
    </row>
    <row r="226" spans="6:8" ht="12.75" customHeight="1" x14ac:dyDescent="0.2">
      <c r="F226" s="31"/>
      <c r="G226" s="31"/>
      <c r="H226" s="31"/>
    </row>
    <row r="227" spans="6:8" ht="12.75" customHeight="1" x14ac:dyDescent="0.2">
      <c r="F227" s="31"/>
      <c r="G227" s="31"/>
      <c r="H227" s="31"/>
    </row>
    <row r="228" spans="6:8" ht="12.75" customHeight="1" x14ac:dyDescent="0.2">
      <c r="F228" s="31"/>
      <c r="G228" s="31"/>
      <c r="H228" s="31"/>
    </row>
    <row r="229" spans="6:8" ht="12.75" customHeight="1" x14ac:dyDescent="0.2">
      <c r="F229" s="31"/>
      <c r="G229" s="31"/>
      <c r="H229" s="31"/>
    </row>
    <row r="230" spans="6:8" ht="12.75" customHeight="1" x14ac:dyDescent="0.2">
      <c r="F230" s="31"/>
      <c r="G230" s="31"/>
      <c r="H230" s="31"/>
    </row>
    <row r="231" spans="6:8" ht="12.75" customHeight="1" x14ac:dyDescent="0.2">
      <c r="F231" s="31"/>
      <c r="G231" s="31"/>
      <c r="H231" s="31"/>
    </row>
    <row r="232" spans="6:8" ht="12.75" customHeight="1" x14ac:dyDescent="0.2">
      <c r="F232" s="31"/>
      <c r="G232" s="31"/>
      <c r="H232" s="31"/>
    </row>
    <row r="233" spans="6:8" ht="12.75" customHeight="1" x14ac:dyDescent="0.2">
      <c r="F233" s="31"/>
      <c r="G233" s="31"/>
      <c r="H233" s="31"/>
    </row>
    <row r="234" spans="6:8" ht="12.75" customHeight="1" x14ac:dyDescent="0.2">
      <c r="F234" s="31"/>
      <c r="G234" s="31"/>
      <c r="H234" s="31"/>
    </row>
    <row r="235" spans="6:8" ht="12.75" customHeight="1" x14ac:dyDescent="0.2">
      <c r="F235" s="31"/>
      <c r="G235" s="31"/>
      <c r="H235" s="31"/>
    </row>
    <row r="236" spans="6:8" ht="12.75" customHeight="1" x14ac:dyDescent="0.2">
      <c r="F236" s="31"/>
      <c r="G236" s="31"/>
      <c r="H236" s="31"/>
    </row>
    <row r="237" spans="6:8" ht="12.75" customHeight="1" x14ac:dyDescent="0.2">
      <c r="F237" s="31"/>
      <c r="G237" s="31"/>
      <c r="H237" s="31"/>
    </row>
    <row r="238" spans="6:8" ht="12.75" customHeight="1" x14ac:dyDescent="0.2">
      <c r="F238" s="31"/>
      <c r="G238" s="31"/>
      <c r="H238" s="31"/>
    </row>
    <row r="239" spans="6:8" ht="12.75" customHeight="1" x14ac:dyDescent="0.2">
      <c r="F239" s="31"/>
      <c r="G239" s="31"/>
      <c r="H239" s="31"/>
    </row>
    <row r="240" spans="6:8" ht="12.75" customHeight="1" x14ac:dyDescent="0.2">
      <c r="F240" s="31"/>
      <c r="G240" s="31"/>
      <c r="H240" s="31"/>
    </row>
    <row r="241" spans="6:8" ht="12.75" customHeight="1" x14ac:dyDescent="0.2">
      <c r="F241" s="31"/>
      <c r="G241" s="31"/>
      <c r="H241" s="31"/>
    </row>
    <row r="242" spans="6:8" ht="12.75" customHeight="1" x14ac:dyDescent="0.2">
      <c r="F242" s="31"/>
      <c r="G242" s="31"/>
      <c r="H242" s="31"/>
    </row>
    <row r="243" spans="6:8" ht="12.75" customHeight="1" x14ac:dyDescent="0.2">
      <c r="F243" s="31"/>
      <c r="G243" s="31"/>
      <c r="H243" s="31"/>
    </row>
    <row r="244" spans="6:8" ht="12.75" customHeight="1" x14ac:dyDescent="0.2">
      <c r="F244" s="31"/>
      <c r="G244" s="31"/>
      <c r="H244" s="31"/>
    </row>
    <row r="245" spans="6:8" ht="12.75" customHeight="1" x14ac:dyDescent="0.2">
      <c r="F245" s="31"/>
      <c r="G245" s="31"/>
      <c r="H245" s="31"/>
    </row>
    <row r="246" spans="6:8" ht="12.75" customHeight="1" x14ac:dyDescent="0.2">
      <c r="F246" s="31"/>
      <c r="G246" s="31"/>
      <c r="H246" s="31"/>
    </row>
    <row r="247" spans="6:8" ht="12.75" customHeight="1" x14ac:dyDescent="0.2">
      <c r="F247" s="31"/>
      <c r="G247" s="31"/>
      <c r="H247" s="31"/>
    </row>
    <row r="248" spans="6:8" ht="12.75" customHeight="1" x14ac:dyDescent="0.2">
      <c r="F248" s="31"/>
      <c r="G248" s="31"/>
      <c r="H248" s="31"/>
    </row>
    <row r="249" spans="6:8" ht="12.75" customHeight="1" x14ac:dyDescent="0.2">
      <c r="F249" s="31"/>
      <c r="G249" s="31"/>
      <c r="H249" s="31"/>
    </row>
    <row r="250" spans="6:8" ht="12.75" customHeight="1" x14ac:dyDescent="0.2">
      <c r="F250" s="31"/>
      <c r="G250" s="31"/>
      <c r="H250" s="31"/>
    </row>
    <row r="251" spans="6:8" ht="12.75" customHeight="1" x14ac:dyDescent="0.2">
      <c r="F251" s="31"/>
      <c r="G251" s="31"/>
      <c r="H251" s="31"/>
    </row>
    <row r="252" spans="6:8" ht="12.75" customHeight="1" x14ac:dyDescent="0.2">
      <c r="F252" s="31"/>
      <c r="G252" s="31"/>
      <c r="H252" s="31"/>
    </row>
    <row r="253" spans="6:8" ht="12.75" customHeight="1" x14ac:dyDescent="0.2">
      <c r="F253" s="31"/>
      <c r="G253" s="31"/>
      <c r="H253" s="31"/>
    </row>
    <row r="254" spans="6:8" ht="12.75" customHeight="1" x14ac:dyDescent="0.2">
      <c r="F254" s="31"/>
      <c r="G254" s="31"/>
      <c r="H254" s="31"/>
    </row>
    <row r="255" spans="6:8" ht="12.75" customHeight="1" x14ac:dyDescent="0.2">
      <c r="F255" s="31"/>
      <c r="G255" s="31"/>
      <c r="H255" s="31"/>
    </row>
    <row r="256" spans="6:8" ht="12.75" customHeight="1" x14ac:dyDescent="0.2">
      <c r="F256" s="31"/>
      <c r="G256" s="31"/>
      <c r="H256" s="31"/>
    </row>
    <row r="257" spans="6:8" ht="12.75" customHeight="1" x14ac:dyDescent="0.2">
      <c r="F257" s="31"/>
      <c r="G257" s="31"/>
      <c r="H257" s="31"/>
    </row>
    <row r="258" spans="6:8" ht="12.75" customHeight="1" x14ac:dyDescent="0.2">
      <c r="F258" s="31"/>
      <c r="G258" s="31"/>
      <c r="H258" s="31"/>
    </row>
    <row r="259" spans="6:8" ht="12.75" customHeight="1" x14ac:dyDescent="0.2">
      <c r="F259" s="31"/>
      <c r="G259" s="31"/>
      <c r="H259" s="31"/>
    </row>
    <row r="260" spans="6:8" ht="12.75" customHeight="1" x14ac:dyDescent="0.2">
      <c r="F260" s="31"/>
      <c r="G260" s="31"/>
      <c r="H260" s="31"/>
    </row>
    <row r="261" spans="6:8" ht="12.75" customHeight="1" x14ac:dyDescent="0.2">
      <c r="F261" s="31"/>
      <c r="G261" s="31"/>
      <c r="H261" s="31"/>
    </row>
    <row r="262" spans="6:8" ht="12.75" customHeight="1" x14ac:dyDescent="0.2">
      <c r="F262" s="31"/>
      <c r="G262" s="31"/>
      <c r="H262" s="31"/>
    </row>
    <row r="263" spans="6:8" ht="12.75" customHeight="1" x14ac:dyDescent="0.2">
      <c r="F263" s="31"/>
      <c r="G263" s="31"/>
      <c r="H263" s="31"/>
    </row>
    <row r="264" spans="6:8" ht="12.75" customHeight="1" x14ac:dyDescent="0.2">
      <c r="F264" s="31"/>
      <c r="G264" s="31"/>
      <c r="H264" s="31"/>
    </row>
    <row r="265" spans="6:8" ht="12.75" customHeight="1" x14ac:dyDescent="0.2">
      <c r="F265" s="31"/>
      <c r="G265" s="31"/>
      <c r="H265" s="31"/>
    </row>
    <row r="266" spans="6:8" ht="12.75" customHeight="1" x14ac:dyDescent="0.2">
      <c r="F266" s="31"/>
      <c r="G266" s="31"/>
      <c r="H266" s="31"/>
    </row>
    <row r="267" spans="6:8" ht="12.75" customHeight="1" x14ac:dyDescent="0.2">
      <c r="F267" s="31"/>
      <c r="G267" s="31"/>
      <c r="H267" s="31"/>
    </row>
    <row r="268" spans="6:8" ht="12.75" customHeight="1" x14ac:dyDescent="0.2">
      <c r="F268" s="31"/>
      <c r="G268" s="31"/>
      <c r="H268" s="31"/>
    </row>
    <row r="269" spans="6:8" ht="12.75" customHeight="1" x14ac:dyDescent="0.2">
      <c r="F269" s="31"/>
      <c r="G269" s="31"/>
      <c r="H269" s="31"/>
    </row>
    <row r="270" spans="6:8" ht="12.75" customHeight="1" x14ac:dyDescent="0.2">
      <c r="F270" s="31"/>
      <c r="G270" s="31"/>
      <c r="H270" s="31"/>
    </row>
    <row r="271" spans="6:8" ht="12.75" customHeight="1" x14ac:dyDescent="0.2">
      <c r="F271" s="31"/>
      <c r="G271" s="31"/>
      <c r="H271" s="31"/>
    </row>
    <row r="272" spans="6:8" ht="12.75" customHeight="1" x14ac:dyDescent="0.2">
      <c r="F272" s="31"/>
      <c r="G272" s="31"/>
      <c r="H272" s="31"/>
    </row>
    <row r="273" spans="6:8" ht="12.75" customHeight="1" x14ac:dyDescent="0.2">
      <c r="F273" s="31"/>
      <c r="G273" s="31"/>
      <c r="H273" s="31"/>
    </row>
    <row r="274" spans="6:8" ht="12.75" customHeight="1" x14ac:dyDescent="0.2">
      <c r="F274" s="31"/>
      <c r="G274" s="31"/>
      <c r="H274" s="31"/>
    </row>
    <row r="275" spans="6:8" ht="12.75" customHeight="1" x14ac:dyDescent="0.2">
      <c r="F275" s="31"/>
      <c r="G275" s="31"/>
      <c r="H275" s="31"/>
    </row>
    <row r="276" spans="6:8" ht="12.75" customHeight="1" x14ac:dyDescent="0.2">
      <c r="F276" s="31"/>
      <c r="G276" s="31"/>
      <c r="H276" s="31"/>
    </row>
    <row r="277" spans="6:8" ht="12.75" customHeight="1" x14ac:dyDescent="0.2">
      <c r="F277" s="31"/>
      <c r="G277" s="31"/>
      <c r="H277" s="31"/>
    </row>
    <row r="278" spans="6:8" ht="12.75" customHeight="1" x14ac:dyDescent="0.2">
      <c r="F278" s="31"/>
      <c r="G278" s="31"/>
      <c r="H278" s="31"/>
    </row>
    <row r="279" spans="6:8" ht="12.75" customHeight="1" x14ac:dyDescent="0.2">
      <c r="F279" s="31"/>
      <c r="G279" s="31"/>
      <c r="H279" s="31"/>
    </row>
    <row r="280" spans="6:8" ht="12.75" customHeight="1" x14ac:dyDescent="0.2">
      <c r="F280" s="31"/>
      <c r="G280" s="31"/>
      <c r="H280" s="31"/>
    </row>
    <row r="281" spans="6:8" ht="12.75" customHeight="1" x14ac:dyDescent="0.2">
      <c r="F281" s="31"/>
      <c r="G281" s="31"/>
      <c r="H281" s="31"/>
    </row>
    <row r="282" spans="6:8" ht="12.75" customHeight="1" x14ac:dyDescent="0.2">
      <c r="F282" s="31"/>
      <c r="G282" s="31"/>
      <c r="H282" s="31"/>
    </row>
    <row r="283" spans="6:8" ht="12.75" customHeight="1" x14ac:dyDescent="0.2">
      <c r="F283" s="31"/>
      <c r="G283" s="31"/>
      <c r="H283" s="31"/>
    </row>
    <row r="284" spans="6:8" ht="12.75" customHeight="1" x14ac:dyDescent="0.2">
      <c r="F284" s="31"/>
      <c r="G284" s="31"/>
      <c r="H284" s="31"/>
    </row>
    <row r="285" spans="6:8" ht="12.75" customHeight="1" x14ac:dyDescent="0.2">
      <c r="F285" s="31"/>
      <c r="G285" s="31"/>
      <c r="H285" s="31"/>
    </row>
    <row r="286" spans="6:8" ht="12.75" customHeight="1" x14ac:dyDescent="0.2">
      <c r="F286" s="31"/>
      <c r="G286" s="31"/>
      <c r="H286" s="31"/>
    </row>
    <row r="287" spans="6:8" ht="12.75" customHeight="1" x14ac:dyDescent="0.2">
      <c r="F287" s="31"/>
      <c r="G287" s="31"/>
      <c r="H287" s="31"/>
    </row>
    <row r="288" spans="6:8" ht="12.75" customHeight="1" x14ac:dyDescent="0.2">
      <c r="F288" s="31"/>
      <c r="G288" s="31"/>
      <c r="H288" s="31"/>
    </row>
    <row r="289" spans="6:8" ht="12.75" customHeight="1" x14ac:dyDescent="0.2">
      <c r="F289" s="31"/>
      <c r="G289" s="31"/>
      <c r="H289" s="31"/>
    </row>
    <row r="290" spans="6:8" ht="12.75" customHeight="1" x14ac:dyDescent="0.2">
      <c r="F290" s="31"/>
      <c r="G290" s="31"/>
      <c r="H290" s="31"/>
    </row>
    <row r="291" spans="6:8" ht="12.75" customHeight="1" x14ac:dyDescent="0.2">
      <c r="F291" s="31"/>
      <c r="G291" s="31"/>
      <c r="H291" s="31"/>
    </row>
    <row r="292" spans="6:8" ht="12.75" customHeight="1" x14ac:dyDescent="0.2">
      <c r="F292" s="31"/>
      <c r="G292" s="31"/>
      <c r="H292" s="31"/>
    </row>
    <row r="293" spans="6:8" ht="12.75" customHeight="1" x14ac:dyDescent="0.2">
      <c r="F293" s="31"/>
      <c r="G293" s="31"/>
      <c r="H293" s="31"/>
    </row>
    <row r="294" spans="6:8" ht="12.75" customHeight="1" x14ac:dyDescent="0.2">
      <c r="F294" s="31"/>
      <c r="G294" s="31"/>
      <c r="H294" s="31"/>
    </row>
    <row r="295" spans="6:8" ht="12.75" customHeight="1" x14ac:dyDescent="0.2">
      <c r="F295" s="31"/>
      <c r="G295" s="31"/>
      <c r="H295" s="31"/>
    </row>
    <row r="296" spans="6:8" ht="12.75" customHeight="1" x14ac:dyDescent="0.2">
      <c r="F296" s="31"/>
      <c r="G296" s="31"/>
      <c r="H296" s="31"/>
    </row>
    <row r="297" spans="6:8" ht="12.75" customHeight="1" x14ac:dyDescent="0.2">
      <c r="F297" s="31"/>
      <c r="G297" s="31"/>
      <c r="H297" s="31"/>
    </row>
    <row r="298" spans="6:8" ht="12.75" customHeight="1" x14ac:dyDescent="0.2">
      <c r="F298" s="31"/>
      <c r="G298" s="31"/>
      <c r="H298" s="31"/>
    </row>
    <row r="299" spans="6:8" ht="12.75" customHeight="1" x14ac:dyDescent="0.2">
      <c r="F299" s="31"/>
      <c r="G299" s="31"/>
      <c r="H299" s="31"/>
    </row>
    <row r="300" spans="6:8" ht="12.75" customHeight="1" x14ac:dyDescent="0.2">
      <c r="F300" s="31"/>
      <c r="G300" s="31"/>
      <c r="H300" s="31"/>
    </row>
    <row r="301" spans="6:8" ht="12.75" customHeight="1" x14ac:dyDescent="0.2">
      <c r="F301" s="31"/>
      <c r="G301" s="31"/>
      <c r="H301" s="31"/>
    </row>
    <row r="302" spans="6:8" ht="12.75" customHeight="1" x14ac:dyDescent="0.2">
      <c r="F302" s="31"/>
      <c r="G302" s="31"/>
      <c r="H302" s="31"/>
    </row>
    <row r="303" spans="6:8" ht="12.75" customHeight="1" x14ac:dyDescent="0.2">
      <c r="F303" s="31"/>
      <c r="G303" s="31"/>
      <c r="H303" s="31"/>
    </row>
    <row r="304" spans="6:8" ht="12.75" customHeight="1" x14ac:dyDescent="0.2">
      <c r="F304" s="31"/>
      <c r="G304" s="31"/>
      <c r="H304" s="31"/>
    </row>
    <row r="305" spans="6:8" ht="12.75" customHeight="1" x14ac:dyDescent="0.2">
      <c r="F305" s="31"/>
      <c r="G305" s="31"/>
      <c r="H305" s="31"/>
    </row>
    <row r="306" spans="6:8" ht="12.75" customHeight="1" x14ac:dyDescent="0.2">
      <c r="F306" s="31"/>
      <c r="G306" s="31"/>
      <c r="H306" s="31"/>
    </row>
    <row r="307" spans="6:8" ht="12.75" customHeight="1" x14ac:dyDescent="0.2">
      <c r="F307" s="31"/>
      <c r="G307" s="31"/>
      <c r="H307" s="31"/>
    </row>
    <row r="308" spans="6:8" ht="12.75" customHeight="1" x14ac:dyDescent="0.2">
      <c r="F308" s="31"/>
      <c r="G308" s="31"/>
      <c r="H308" s="31"/>
    </row>
    <row r="309" spans="6:8" ht="12.75" customHeight="1" x14ac:dyDescent="0.2">
      <c r="F309" s="31"/>
      <c r="G309" s="31"/>
      <c r="H309" s="31"/>
    </row>
    <row r="310" spans="6:8" ht="12.75" customHeight="1" x14ac:dyDescent="0.2">
      <c r="F310" s="31"/>
      <c r="G310" s="31"/>
      <c r="H310" s="31"/>
    </row>
    <row r="311" spans="6:8" ht="12.75" customHeight="1" x14ac:dyDescent="0.2">
      <c r="F311" s="31"/>
      <c r="G311" s="31"/>
      <c r="H311" s="31"/>
    </row>
    <row r="312" spans="6:8" ht="12.75" customHeight="1" x14ac:dyDescent="0.2">
      <c r="F312" s="31"/>
      <c r="G312" s="31"/>
      <c r="H312" s="31"/>
    </row>
    <row r="313" spans="6:8" ht="12.75" customHeight="1" x14ac:dyDescent="0.2">
      <c r="F313" s="31"/>
      <c r="G313" s="31"/>
      <c r="H313" s="31"/>
    </row>
    <row r="314" spans="6:8" ht="12.75" customHeight="1" x14ac:dyDescent="0.2">
      <c r="F314" s="31"/>
      <c r="G314" s="31"/>
      <c r="H314" s="31"/>
    </row>
    <row r="315" spans="6:8" ht="12.75" customHeight="1" x14ac:dyDescent="0.2">
      <c r="F315" s="31"/>
      <c r="G315" s="31"/>
      <c r="H315" s="31"/>
    </row>
    <row r="316" spans="6:8" ht="12.75" customHeight="1" x14ac:dyDescent="0.2">
      <c r="F316" s="31"/>
      <c r="G316" s="31"/>
      <c r="H316" s="31"/>
    </row>
    <row r="317" spans="6:8" ht="12.75" customHeight="1" x14ac:dyDescent="0.2">
      <c r="F317" s="31"/>
      <c r="G317" s="31"/>
      <c r="H317" s="31"/>
    </row>
    <row r="318" spans="6:8" ht="12.75" customHeight="1" x14ac:dyDescent="0.2">
      <c r="F318" s="31"/>
      <c r="G318" s="31"/>
      <c r="H318" s="31"/>
    </row>
    <row r="319" spans="6:8" ht="12.75" customHeight="1" x14ac:dyDescent="0.2">
      <c r="F319" s="31"/>
      <c r="G319" s="31"/>
      <c r="H319" s="31"/>
    </row>
    <row r="320" spans="6:8" ht="12.75" customHeight="1" x14ac:dyDescent="0.2">
      <c r="F320" s="31"/>
      <c r="G320" s="31"/>
      <c r="H320" s="31"/>
    </row>
    <row r="321" spans="6:8" ht="12.75" customHeight="1" x14ac:dyDescent="0.2">
      <c r="F321" s="31"/>
      <c r="G321" s="31"/>
      <c r="H321" s="31"/>
    </row>
    <row r="322" spans="6:8" ht="12.75" customHeight="1" x14ac:dyDescent="0.2">
      <c r="F322" s="31"/>
      <c r="G322" s="31"/>
      <c r="H322" s="31"/>
    </row>
    <row r="323" spans="6:8" ht="12.75" customHeight="1" x14ac:dyDescent="0.2">
      <c r="F323" s="31"/>
      <c r="G323" s="31"/>
      <c r="H323" s="31"/>
    </row>
    <row r="324" spans="6:8" ht="12.75" customHeight="1" x14ac:dyDescent="0.2">
      <c r="F324" s="31"/>
      <c r="G324" s="31"/>
      <c r="H324" s="31"/>
    </row>
    <row r="325" spans="6:8" ht="12.75" customHeight="1" x14ac:dyDescent="0.2">
      <c r="F325" s="31"/>
      <c r="G325" s="31"/>
      <c r="H325" s="31"/>
    </row>
    <row r="326" spans="6:8" ht="12.75" customHeight="1" x14ac:dyDescent="0.2">
      <c r="F326" s="31"/>
      <c r="G326" s="31"/>
      <c r="H326" s="31"/>
    </row>
    <row r="327" spans="6:8" ht="12.75" customHeight="1" x14ac:dyDescent="0.2">
      <c r="F327" s="31"/>
      <c r="G327" s="31"/>
      <c r="H327" s="31"/>
    </row>
    <row r="328" spans="6:8" ht="12.75" customHeight="1" x14ac:dyDescent="0.2">
      <c r="F328" s="31"/>
      <c r="G328" s="31"/>
      <c r="H328" s="31"/>
    </row>
    <row r="329" spans="6:8" ht="12.75" customHeight="1" x14ac:dyDescent="0.2">
      <c r="F329" s="31"/>
      <c r="G329" s="31"/>
      <c r="H329" s="31"/>
    </row>
    <row r="330" spans="6:8" ht="12.75" customHeight="1" x14ac:dyDescent="0.2">
      <c r="F330" s="31"/>
      <c r="G330" s="31"/>
      <c r="H330" s="31"/>
    </row>
    <row r="331" spans="6:8" ht="12.75" customHeight="1" x14ac:dyDescent="0.2">
      <c r="F331" s="31"/>
      <c r="G331" s="31"/>
      <c r="H331" s="31"/>
    </row>
    <row r="332" spans="6:8" ht="12.75" customHeight="1" x14ac:dyDescent="0.2">
      <c r="F332" s="31"/>
      <c r="G332" s="31"/>
      <c r="H332" s="31"/>
    </row>
    <row r="333" spans="6:8" ht="12.75" customHeight="1" x14ac:dyDescent="0.2">
      <c r="F333" s="31"/>
      <c r="G333" s="31"/>
      <c r="H333" s="31"/>
    </row>
    <row r="334" spans="6:8" ht="12.75" customHeight="1" x14ac:dyDescent="0.2">
      <c r="F334" s="31"/>
      <c r="G334" s="31"/>
      <c r="H334" s="31"/>
    </row>
    <row r="335" spans="6:8" ht="12.75" customHeight="1" x14ac:dyDescent="0.2">
      <c r="F335" s="31"/>
      <c r="G335" s="31"/>
      <c r="H335" s="31"/>
    </row>
    <row r="336" spans="6:8" ht="12.75" customHeight="1" x14ac:dyDescent="0.2">
      <c r="F336" s="31"/>
      <c r="G336" s="31"/>
      <c r="H336" s="31"/>
    </row>
    <row r="337" spans="6:8" ht="12.75" customHeight="1" x14ac:dyDescent="0.2">
      <c r="F337" s="31"/>
      <c r="G337" s="31"/>
      <c r="H337" s="31"/>
    </row>
    <row r="338" spans="6:8" ht="12.75" customHeight="1" x14ac:dyDescent="0.2">
      <c r="F338" s="31"/>
      <c r="G338" s="31"/>
      <c r="H338" s="31"/>
    </row>
    <row r="339" spans="6:8" ht="12.75" customHeight="1" x14ac:dyDescent="0.2">
      <c r="F339" s="31"/>
      <c r="G339" s="31"/>
      <c r="H339" s="31"/>
    </row>
    <row r="340" spans="6:8" ht="12.75" customHeight="1" x14ac:dyDescent="0.2">
      <c r="F340" s="31"/>
      <c r="G340" s="31"/>
      <c r="H340" s="31"/>
    </row>
    <row r="341" spans="6:8" ht="12.75" customHeight="1" x14ac:dyDescent="0.2">
      <c r="F341" s="31"/>
      <c r="G341" s="31"/>
      <c r="H341" s="31"/>
    </row>
    <row r="342" spans="6:8" ht="12.75" customHeight="1" x14ac:dyDescent="0.2">
      <c r="F342" s="31"/>
      <c r="G342" s="31"/>
      <c r="H342" s="31"/>
    </row>
    <row r="343" spans="6:8" ht="12.75" customHeight="1" x14ac:dyDescent="0.2">
      <c r="F343" s="31"/>
      <c r="G343" s="31"/>
      <c r="H343" s="31"/>
    </row>
    <row r="344" spans="6:8" ht="12.75" customHeight="1" x14ac:dyDescent="0.2">
      <c r="F344" s="31"/>
      <c r="G344" s="31"/>
      <c r="H344" s="31"/>
    </row>
    <row r="345" spans="6:8" ht="12.75" customHeight="1" x14ac:dyDescent="0.2">
      <c r="F345" s="31"/>
      <c r="G345" s="31"/>
      <c r="H345" s="31"/>
    </row>
    <row r="346" spans="6:8" ht="12.75" customHeight="1" x14ac:dyDescent="0.2">
      <c r="F346" s="31"/>
      <c r="G346" s="31"/>
      <c r="H346" s="31"/>
    </row>
    <row r="347" spans="6:8" ht="12.75" customHeight="1" x14ac:dyDescent="0.2">
      <c r="F347" s="31"/>
      <c r="G347" s="31"/>
      <c r="H347" s="31"/>
    </row>
    <row r="348" spans="6:8" ht="12.75" customHeight="1" x14ac:dyDescent="0.2">
      <c r="F348" s="31"/>
      <c r="G348" s="31"/>
      <c r="H348" s="31"/>
    </row>
    <row r="349" spans="6:8" ht="12.75" customHeight="1" x14ac:dyDescent="0.2">
      <c r="F349" s="31"/>
      <c r="G349" s="31"/>
      <c r="H349" s="31"/>
    </row>
    <row r="350" spans="6:8" ht="12.75" customHeight="1" x14ac:dyDescent="0.2">
      <c r="F350" s="31"/>
      <c r="G350" s="31"/>
      <c r="H350" s="31"/>
    </row>
    <row r="351" spans="6:8" ht="12.75" customHeight="1" x14ac:dyDescent="0.2">
      <c r="F351" s="31"/>
      <c r="G351" s="31"/>
      <c r="H351" s="31"/>
    </row>
    <row r="352" spans="6:8" ht="12.75" customHeight="1" x14ac:dyDescent="0.2">
      <c r="F352" s="31"/>
      <c r="G352" s="31"/>
      <c r="H352" s="31"/>
    </row>
    <row r="353" spans="6:8" ht="12.75" customHeight="1" x14ac:dyDescent="0.2">
      <c r="F353" s="31"/>
      <c r="G353" s="31"/>
      <c r="H353" s="31"/>
    </row>
    <row r="354" spans="6:8" ht="12.75" customHeight="1" x14ac:dyDescent="0.2">
      <c r="F354" s="31"/>
      <c r="G354" s="31"/>
      <c r="H354" s="31"/>
    </row>
    <row r="355" spans="6:8" ht="12.75" customHeight="1" x14ac:dyDescent="0.2">
      <c r="F355" s="31"/>
      <c r="G355" s="31"/>
      <c r="H355" s="31"/>
    </row>
    <row r="356" spans="6:8" ht="12.75" customHeight="1" x14ac:dyDescent="0.2">
      <c r="F356" s="31"/>
      <c r="G356" s="31"/>
      <c r="H356" s="31"/>
    </row>
    <row r="357" spans="6:8" ht="12.75" customHeight="1" x14ac:dyDescent="0.2">
      <c r="F357" s="31"/>
      <c r="G357" s="31"/>
      <c r="H357" s="31"/>
    </row>
    <row r="358" spans="6:8" ht="12.75" customHeight="1" x14ac:dyDescent="0.2">
      <c r="F358" s="31"/>
      <c r="G358" s="31"/>
      <c r="H358" s="31"/>
    </row>
    <row r="359" spans="6:8" ht="12.75" customHeight="1" x14ac:dyDescent="0.2">
      <c r="F359" s="31"/>
      <c r="G359" s="31"/>
      <c r="H359" s="31"/>
    </row>
    <row r="360" spans="6:8" ht="12.75" customHeight="1" x14ac:dyDescent="0.2">
      <c r="F360" s="31"/>
      <c r="G360" s="31"/>
      <c r="H360" s="31"/>
    </row>
    <row r="361" spans="6:8" ht="12.75" customHeight="1" x14ac:dyDescent="0.2">
      <c r="F361" s="31"/>
      <c r="G361" s="31"/>
      <c r="H361" s="31"/>
    </row>
    <row r="362" spans="6:8" ht="12.75" customHeight="1" x14ac:dyDescent="0.2">
      <c r="F362" s="31"/>
      <c r="G362" s="31"/>
      <c r="H362" s="31"/>
    </row>
    <row r="363" spans="6:8" ht="12.75" customHeight="1" x14ac:dyDescent="0.2">
      <c r="F363" s="31"/>
      <c r="G363" s="31"/>
      <c r="H363" s="31"/>
    </row>
    <row r="364" spans="6:8" ht="12.75" customHeight="1" x14ac:dyDescent="0.2">
      <c r="F364" s="31"/>
      <c r="G364" s="31"/>
      <c r="H364" s="31"/>
    </row>
    <row r="365" spans="6:8" ht="12.75" customHeight="1" x14ac:dyDescent="0.2">
      <c r="F365" s="31"/>
      <c r="G365" s="31"/>
      <c r="H365" s="31"/>
    </row>
    <row r="366" spans="6:8" ht="12.75" customHeight="1" x14ac:dyDescent="0.2">
      <c r="F366" s="31"/>
      <c r="G366" s="31"/>
      <c r="H366" s="31"/>
    </row>
    <row r="367" spans="6:8" ht="12.75" customHeight="1" x14ac:dyDescent="0.2">
      <c r="F367" s="31"/>
      <c r="G367" s="31"/>
      <c r="H367" s="31"/>
    </row>
    <row r="368" spans="6:8" ht="12.75" customHeight="1" x14ac:dyDescent="0.2">
      <c r="F368" s="31"/>
      <c r="G368" s="31"/>
      <c r="H368" s="31"/>
    </row>
    <row r="369" spans="6:8" ht="12.75" customHeight="1" x14ac:dyDescent="0.2">
      <c r="F369" s="31"/>
      <c r="G369" s="31"/>
      <c r="H369" s="31"/>
    </row>
    <row r="370" spans="6:8" ht="12.75" customHeight="1" x14ac:dyDescent="0.2">
      <c r="F370" s="31"/>
      <c r="G370" s="31"/>
      <c r="H370" s="31"/>
    </row>
    <row r="371" spans="6:8" ht="12.75" customHeight="1" x14ac:dyDescent="0.2">
      <c r="F371" s="31"/>
      <c r="G371" s="31"/>
      <c r="H371" s="31"/>
    </row>
    <row r="372" spans="6:8" ht="12.75" customHeight="1" x14ac:dyDescent="0.2">
      <c r="F372" s="31"/>
      <c r="G372" s="31"/>
      <c r="H372" s="31"/>
    </row>
    <row r="373" spans="6:8" ht="12.75" customHeight="1" x14ac:dyDescent="0.2">
      <c r="F373" s="31"/>
      <c r="G373" s="31"/>
      <c r="H373" s="31"/>
    </row>
    <row r="374" spans="6:8" ht="12.75" customHeight="1" x14ac:dyDescent="0.2">
      <c r="F374" s="31"/>
      <c r="G374" s="31"/>
      <c r="H374" s="31"/>
    </row>
    <row r="375" spans="6:8" ht="12.75" customHeight="1" x14ac:dyDescent="0.2">
      <c r="F375" s="31"/>
      <c r="G375" s="31"/>
      <c r="H375" s="31"/>
    </row>
    <row r="376" spans="6:8" ht="12.75" customHeight="1" x14ac:dyDescent="0.2">
      <c r="F376" s="31"/>
      <c r="G376" s="31"/>
      <c r="H376" s="31"/>
    </row>
    <row r="377" spans="6:8" ht="12.75" customHeight="1" x14ac:dyDescent="0.2">
      <c r="F377" s="31"/>
      <c r="G377" s="31"/>
      <c r="H377" s="31"/>
    </row>
    <row r="378" spans="6:8" ht="12.75" customHeight="1" x14ac:dyDescent="0.2">
      <c r="F378" s="31"/>
      <c r="G378" s="31"/>
      <c r="H378" s="31"/>
    </row>
    <row r="379" spans="6:8" ht="12.75" customHeight="1" x14ac:dyDescent="0.2">
      <c r="F379" s="31"/>
      <c r="G379" s="31"/>
      <c r="H379" s="31"/>
    </row>
    <row r="380" spans="6:8" ht="12.75" customHeight="1" x14ac:dyDescent="0.2">
      <c r="F380" s="31"/>
      <c r="G380" s="31"/>
      <c r="H380" s="31"/>
    </row>
    <row r="381" spans="6:8" ht="12.75" customHeight="1" x14ac:dyDescent="0.2">
      <c r="F381" s="31"/>
      <c r="G381" s="31"/>
      <c r="H381" s="31"/>
    </row>
    <row r="382" spans="6:8" ht="12.75" customHeight="1" x14ac:dyDescent="0.2">
      <c r="F382" s="31"/>
      <c r="G382" s="31"/>
      <c r="H382" s="31"/>
    </row>
    <row r="383" spans="6:8" ht="12.75" customHeight="1" x14ac:dyDescent="0.2">
      <c r="F383" s="31"/>
      <c r="G383" s="31"/>
      <c r="H383" s="31"/>
    </row>
    <row r="384" spans="6:8" ht="12.75" customHeight="1" x14ac:dyDescent="0.2">
      <c r="F384" s="31"/>
      <c r="G384" s="31"/>
      <c r="H384" s="31"/>
    </row>
    <row r="385" spans="6:8" ht="12.75" customHeight="1" x14ac:dyDescent="0.2">
      <c r="F385" s="31"/>
      <c r="G385" s="31"/>
      <c r="H385" s="31"/>
    </row>
    <row r="386" spans="6:8" ht="12.75" customHeight="1" x14ac:dyDescent="0.2">
      <c r="F386" s="31"/>
      <c r="G386" s="31"/>
      <c r="H386" s="31"/>
    </row>
    <row r="387" spans="6:8" ht="12.75" customHeight="1" x14ac:dyDescent="0.2">
      <c r="F387" s="31"/>
      <c r="G387" s="31"/>
      <c r="H387" s="31"/>
    </row>
    <row r="388" spans="6:8" ht="12.75" customHeight="1" x14ac:dyDescent="0.2">
      <c r="F388" s="31"/>
      <c r="G388" s="31"/>
      <c r="H388" s="31"/>
    </row>
    <row r="389" spans="6:8" ht="12.75" customHeight="1" x14ac:dyDescent="0.2">
      <c r="F389" s="31"/>
      <c r="G389" s="31"/>
      <c r="H389" s="31"/>
    </row>
    <row r="390" spans="6:8" ht="12.75" customHeight="1" x14ac:dyDescent="0.2">
      <c r="F390" s="31"/>
      <c r="G390" s="31"/>
      <c r="H390" s="31"/>
    </row>
    <row r="391" spans="6:8" ht="12.75" customHeight="1" x14ac:dyDescent="0.2">
      <c r="F391" s="31"/>
      <c r="G391" s="31"/>
      <c r="H391" s="31"/>
    </row>
    <row r="392" spans="6:8" ht="12.75" customHeight="1" x14ac:dyDescent="0.2">
      <c r="F392" s="31"/>
      <c r="G392" s="31"/>
      <c r="H392" s="31"/>
    </row>
    <row r="393" spans="6:8" ht="12.75" customHeight="1" x14ac:dyDescent="0.2">
      <c r="F393" s="31"/>
      <c r="G393" s="31"/>
      <c r="H393" s="31"/>
    </row>
    <row r="394" spans="6:8" ht="12.75" customHeight="1" x14ac:dyDescent="0.2">
      <c r="F394" s="31"/>
      <c r="G394" s="31"/>
      <c r="H394" s="31"/>
    </row>
    <row r="395" spans="6:8" ht="12.75" customHeight="1" x14ac:dyDescent="0.2">
      <c r="F395" s="31"/>
      <c r="G395" s="31"/>
      <c r="H395" s="31"/>
    </row>
    <row r="396" spans="6:8" ht="12.75" customHeight="1" x14ac:dyDescent="0.2">
      <c r="F396" s="31"/>
      <c r="G396" s="31"/>
      <c r="H396" s="31"/>
    </row>
    <row r="397" spans="6:8" ht="12.75" customHeight="1" x14ac:dyDescent="0.2">
      <c r="F397" s="31"/>
      <c r="G397" s="31"/>
      <c r="H397" s="31"/>
    </row>
    <row r="398" spans="6:8" ht="12.75" customHeight="1" x14ac:dyDescent="0.2">
      <c r="F398" s="31"/>
      <c r="G398" s="31"/>
      <c r="H398" s="31"/>
    </row>
    <row r="399" spans="6:8" ht="12.75" customHeight="1" x14ac:dyDescent="0.2">
      <c r="F399" s="31"/>
      <c r="G399" s="31"/>
      <c r="H399" s="31"/>
    </row>
    <row r="400" spans="6:8" ht="12.75" customHeight="1" x14ac:dyDescent="0.2">
      <c r="F400" s="31"/>
      <c r="G400" s="31"/>
      <c r="H400" s="31"/>
    </row>
    <row r="401" spans="6:8" ht="12.75" customHeight="1" x14ac:dyDescent="0.2">
      <c r="F401" s="31"/>
      <c r="G401" s="31"/>
      <c r="H401" s="31"/>
    </row>
    <row r="402" spans="6:8" ht="12.75" customHeight="1" x14ac:dyDescent="0.2">
      <c r="F402" s="31"/>
      <c r="G402" s="31"/>
      <c r="H402" s="31"/>
    </row>
    <row r="403" spans="6:8" ht="12.75" customHeight="1" x14ac:dyDescent="0.2">
      <c r="F403" s="31"/>
      <c r="G403" s="31"/>
      <c r="H403" s="31"/>
    </row>
    <row r="404" spans="6:8" ht="12.75" customHeight="1" x14ac:dyDescent="0.2">
      <c r="F404" s="31"/>
      <c r="G404" s="31"/>
      <c r="H404" s="31"/>
    </row>
    <row r="405" spans="6:8" ht="12.75" customHeight="1" x14ac:dyDescent="0.2">
      <c r="F405" s="31"/>
      <c r="G405" s="31"/>
      <c r="H405" s="31"/>
    </row>
    <row r="406" spans="6:8" ht="12.75" customHeight="1" x14ac:dyDescent="0.2">
      <c r="F406" s="31"/>
      <c r="G406" s="31"/>
      <c r="H406" s="31"/>
    </row>
    <row r="407" spans="6:8" ht="12.75" customHeight="1" x14ac:dyDescent="0.2">
      <c r="F407" s="31"/>
      <c r="G407" s="31"/>
      <c r="H407" s="31"/>
    </row>
    <row r="408" spans="6:8" ht="12.75" customHeight="1" x14ac:dyDescent="0.2">
      <c r="F408" s="31"/>
      <c r="G408" s="31"/>
      <c r="H408" s="31"/>
    </row>
    <row r="409" spans="6:8" ht="12.75" customHeight="1" x14ac:dyDescent="0.2">
      <c r="F409" s="31"/>
      <c r="G409" s="31"/>
      <c r="H409" s="31"/>
    </row>
    <row r="410" spans="6:8" ht="12.75" customHeight="1" x14ac:dyDescent="0.2">
      <c r="F410" s="31"/>
      <c r="G410" s="31"/>
      <c r="H410" s="31"/>
    </row>
    <row r="411" spans="6:8" ht="12.75" customHeight="1" x14ac:dyDescent="0.2">
      <c r="F411" s="31"/>
      <c r="G411" s="31"/>
      <c r="H411" s="31"/>
    </row>
    <row r="412" spans="6:8" ht="12.75" customHeight="1" x14ac:dyDescent="0.2">
      <c r="F412" s="31"/>
      <c r="G412" s="31"/>
      <c r="H412" s="31"/>
    </row>
    <row r="413" spans="6:8" ht="12.75" customHeight="1" x14ac:dyDescent="0.2">
      <c r="F413" s="31"/>
      <c r="G413" s="31"/>
      <c r="H413" s="31"/>
    </row>
    <row r="414" spans="6:8" ht="12.75" customHeight="1" x14ac:dyDescent="0.2">
      <c r="F414" s="31"/>
      <c r="G414" s="31"/>
      <c r="H414" s="31"/>
    </row>
    <row r="415" spans="6:8" ht="12.75" customHeight="1" x14ac:dyDescent="0.2">
      <c r="F415" s="31"/>
      <c r="G415" s="31"/>
      <c r="H415" s="31"/>
    </row>
    <row r="416" spans="6:8" ht="12.75" customHeight="1" x14ac:dyDescent="0.2">
      <c r="F416" s="31"/>
      <c r="G416" s="31"/>
      <c r="H416" s="31"/>
    </row>
    <row r="417" spans="6:8" ht="12.75" customHeight="1" x14ac:dyDescent="0.2">
      <c r="F417" s="31"/>
      <c r="G417" s="31"/>
      <c r="H417" s="31"/>
    </row>
    <row r="418" spans="6:8" ht="12.75" customHeight="1" x14ac:dyDescent="0.2">
      <c r="F418" s="31"/>
      <c r="G418" s="31"/>
      <c r="H418" s="31"/>
    </row>
    <row r="419" spans="6:8" ht="12.75" customHeight="1" x14ac:dyDescent="0.2">
      <c r="F419" s="31"/>
      <c r="G419" s="31"/>
      <c r="H419" s="31"/>
    </row>
    <row r="420" spans="6:8" ht="12.75" customHeight="1" x14ac:dyDescent="0.2">
      <c r="F420" s="31"/>
      <c r="G420" s="31"/>
      <c r="H420" s="31"/>
    </row>
    <row r="421" spans="6:8" ht="12.75" customHeight="1" x14ac:dyDescent="0.2">
      <c r="F421" s="31"/>
      <c r="G421" s="31"/>
      <c r="H421" s="31"/>
    </row>
    <row r="422" spans="6:8" ht="12.75" customHeight="1" x14ac:dyDescent="0.2">
      <c r="F422" s="31"/>
      <c r="G422" s="31"/>
      <c r="H422" s="31"/>
    </row>
    <row r="423" spans="6:8" ht="12.75" customHeight="1" x14ac:dyDescent="0.2">
      <c r="F423" s="31"/>
      <c r="G423" s="31"/>
      <c r="H423" s="31"/>
    </row>
    <row r="424" spans="6:8" ht="12.75" customHeight="1" x14ac:dyDescent="0.2">
      <c r="F424" s="31"/>
      <c r="G424" s="31"/>
      <c r="H424" s="31"/>
    </row>
    <row r="425" spans="6:8" ht="12.75" customHeight="1" x14ac:dyDescent="0.2">
      <c r="F425" s="31"/>
      <c r="G425" s="31"/>
      <c r="H425" s="31"/>
    </row>
    <row r="426" spans="6:8" ht="12.75" customHeight="1" x14ac:dyDescent="0.2">
      <c r="F426" s="31"/>
      <c r="G426" s="31"/>
      <c r="H426" s="31"/>
    </row>
    <row r="427" spans="6:8" ht="12.75" customHeight="1" x14ac:dyDescent="0.2">
      <c r="F427" s="31"/>
      <c r="G427" s="31"/>
      <c r="H427" s="31"/>
    </row>
    <row r="428" spans="6:8" ht="12.75" customHeight="1" x14ac:dyDescent="0.2">
      <c r="F428" s="31"/>
      <c r="G428" s="31"/>
      <c r="H428" s="31"/>
    </row>
    <row r="429" spans="6:8" ht="12.75" customHeight="1" x14ac:dyDescent="0.2">
      <c r="F429" s="31"/>
      <c r="G429" s="31"/>
      <c r="H429" s="31"/>
    </row>
    <row r="430" spans="6:8" ht="12.75" customHeight="1" x14ac:dyDescent="0.2">
      <c r="F430" s="31"/>
      <c r="G430" s="31"/>
      <c r="H430" s="31"/>
    </row>
    <row r="431" spans="6:8" ht="12.75" customHeight="1" x14ac:dyDescent="0.2">
      <c r="F431" s="31"/>
      <c r="G431" s="31"/>
      <c r="H431" s="31"/>
    </row>
    <row r="432" spans="6:8" ht="12.75" customHeight="1" x14ac:dyDescent="0.2">
      <c r="F432" s="31"/>
      <c r="G432" s="31"/>
      <c r="H432" s="31"/>
    </row>
    <row r="433" spans="6:8" ht="12.75" customHeight="1" x14ac:dyDescent="0.2">
      <c r="F433" s="31"/>
      <c r="G433" s="31"/>
      <c r="H433" s="31"/>
    </row>
    <row r="434" spans="6:8" ht="12.75" customHeight="1" x14ac:dyDescent="0.2">
      <c r="F434" s="31"/>
      <c r="G434" s="31"/>
      <c r="H434" s="31"/>
    </row>
    <row r="435" spans="6:8" ht="12.75" customHeight="1" x14ac:dyDescent="0.2">
      <c r="F435" s="31"/>
      <c r="G435" s="31"/>
      <c r="H435" s="31"/>
    </row>
    <row r="436" spans="6:8" ht="12.75" customHeight="1" x14ac:dyDescent="0.2">
      <c r="F436" s="31"/>
      <c r="G436" s="31"/>
      <c r="H436" s="31"/>
    </row>
    <row r="437" spans="6:8" ht="12.75" customHeight="1" x14ac:dyDescent="0.2">
      <c r="F437" s="31"/>
      <c r="G437" s="31"/>
      <c r="H437" s="31"/>
    </row>
    <row r="438" spans="6:8" ht="12.75" customHeight="1" x14ac:dyDescent="0.2">
      <c r="F438" s="31"/>
      <c r="G438" s="31"/>
      <c r="H438" s="31"/>
    </row>
    <row r="439" spans="6:8" ht="12.75" customHeight="1" x14ac:dyDescent="0.2">
      <c r="F439" s="31"/>
      <c r="G439" s="31"/>
      <c r="H439" s="31"/>
    </row>
    <row r="440" spans="6:8" ht="12.75" customHeight="1" x14ac:dyDescent="0.2">
      <c r="F440" s="31"/>
      <c r="G440" s="31"/>
      <c r="H440" s="31"/>
    </row>
    <row r="441" spans="6:8" ht="12.75" customHeight="1" x14ac:dyDescent="0.2">
      <c r="F441" s="31"/>
      <c r="G441" s="31"/>
      <c r="H441" s="31"/>
    </row>
    <row r="442" spans="6:8" ht="12.75" customHeight="1" x14ac:dyDescent="0.2">
      <c r="F442" s="31"/>
      <c r="G442" s="31"/>
      <c r="H442" s="31"/>
    </row>
    <row r="443" spans="6:8" ht="12.75" customHeight="1" x14ac:dyDescent="0.2">
      <c r="F443" s="31"/>
      <c r="G443" s="31"/>
      <c r="H443" s="31"/>
    </row>
    <row r="444" spans="6:8" ht="12.75" customHeight="1" x14ac:dyDescent="0.2">
      <c r="F444" s="31"/>
      <c r="G444" s="31"/>
      <c r="H444" s="31"/>
    </row>
    <row r="445" spans="6:8" ht="12.75" customHeight="1" x14ac:dyDescent="0.2">
      <c r="F445" s="31"/>
      <c r="G445" s="31"/>
      <c r="H445" s="31"/>
    </row>
    <row r="446" spans="6:8" ht="12.75" customHeight="1" x14ac:dyDescent="0.2">
      <c r="F446" s="31"/>
      <c r="G446" s="31"/>
      <c r="H446" s="31"/>
    </row>
    <row r="447" spans="6:8" ht="12.75" customHeight="1" x14ac:dyDescent="0.2">
      <c r="F447" s="31"/>
      <c r="G447" s="31"/>
      <c r="H447" s="31"/>
    </row>
    <row r="448" spans="6:8" ht="12.75" customHeight="1" x14ac:dyDescent="0.2">
      <c r="F448" s="31"/>
      <c r="G448" s="31"/>
      <c r="H448" s="31"/>
    </row>
    <row r="449" spans="6:8" ht="12.75" customHeight="1" x14ac:dyDescent="0.2">
      <c r="F449" s="31"/>
      <c r="G449" s="31"/>
      <c r="H449" s="31"/>
    </row>
    <row r="450" spans="6:8" ht="12.75" customHeight="1" x14ac:dyDescent="0.2">
      <c r="F450" s="31"/>
      <c r="G450" s="31"/>
      <c r="H450" s="31"/>
    </row>
    <row r="451" spans="6:8" ht="12.75" customHeight="1" x14ac:dyDescent="0.2">
      <c r="F451" s="31"/>
      <c r="G451" s="31"/>
      <c r="H451" s="31"/>
    </row>
    <row r="452" spans="6:8" ht="12.75" customHeight="1" x14ac:dyDescent="0.2">
      <c r="F452" s="31"/>
      <c r="G452" s="31"/>
      <c r="H452" s="31"/>
    </row>
    <row r="453" spans="6:8" ht="12.75" customHeight="1" x14ac:dyDescent="0.2">
      <c r="F453" s="31"/>
      <c r="G453" s="31"/>
      <c r="H453" s="31"/>
    </row>
    <row r="454" spans="6:8" ht="12.75" customHeight="1" x14ac:dyDescent="0.2">
      <c r="F454" s="31"/>
      <c r="G454" s="31"/>
      <c r="H454" s="31"/>
    </row>
    <row r="455" spans="6:8" ht="12.75" customHeight="1" x14ac:dyDescent="0.2">
      <c r="F455" s="31"/>
      <c r="G455" s="31"/>
      <c r="H455" s="31"/>
    </row>
    <row r="456" spans="6:8" ht="12.75" customHeight="1" x14ac:dyDescent="0.2">
      <c r="F456" s="31"/>
      <c r="G456" s="31"/>
      <c r="H456" s="31"/>
    </row>
    <row r="457" spans="6:8" ht="12.75" customHeight="1" x14ac:dyDescent="0.2">
      <c r="F457" s="31"/>
      <c r="G457" s="31"/>
      <c r="H457" s="31"/>
    </row>
    <row r="458" spans="6:8" ht="12.75" customHeight="1" x14ac:dyDescent="0.2">
      <c r="F458" s="31"/>
      <c r="G458" s="31"/>
      <c r="H458" s="31"/>
    </row>
    <row r="459" spans="6:8" ht="12.75" customHeight="1" x14ac:dyDescent="0.2">
      <c r="F459" s="31"/>
      <c r="G459" s="31"/>
      <c r="H459" s="31"/>
    </row>
    <row r="460" spans="6:8" ht="12.75" customHeight="1" x14ac:dyDescent="0.2">
      <c r="F460" s="31"/>
      <c r="G460" s="31"/>
      <c r="H460" s="31"/>
    </row>
    <row r="461" spans="6:8" ht="12.75" customHeight="1" x14ac:dyDescent="0.2">
      <c r="F461" s="31"/>
      <c r="G461" s="31"/>
      <c r="H461" s="31"/>
    </row>
    <row r="462" spans="6:8" ht="12.75" customHeight="1" x14ac:dyDescent="0.2">
      <c r="F462" s="31"/>
      <c r="G462" s="31"/>
      <c r="H462" s="31"/>
    </row>
    <row r="463" spans="6:8" ht="12.75" customHeight="1" x14ac:dyDescent="0.2">
      <c r="F463" s="31"/>
      <c r="G463" s="31"/>
      <c r="H463" s="31"/>
    </row>
    <row r="464" spans="6:8" ht="12.75" customHeight="1" x14ac:dyDescent="0.2">
      <c r="F464" s="31"/>
      <c r="G464" s="31"/>
      <c r="H464" s="31"/>
    </row>
    <row r="465" spans="6:8" ht="12.75" customHeight="1" x14ac:dyDescent="0.2">
      <c r="F465" s="31"/>
      <c r="G465" s="31"/>
      <c r="H465" s="31"/>
    </row>
    <row r="466" spans="6:8" ht="12.75" customHeight="1" x14ac:dyDescent="0.2">
      <c r="F466" s="31"/>
      <c r="G466" s="31"/>
      <c r="H466" s="31"/>
    </row>
    <row r="467" spans="6:8" ht="12.75" customHeight="1" x14ac:dyDescent="0.2">
      <c r="F467" s="31"/>
      <c r="G467" s="31"/>
      <c r="H467" s="31"/>
    </row>
    <row r="468" spans="6:8" ht="12.75" customHeight="1" x14ac:dyDescent="0.2">
      <c r="F468" s="31"/>
      <c r="G468" s="31"/>
      <c r="H468" s="31"/>
    </row>
    <row r="469" spans="6:8" ht="12.75" customHeight="1" x14ac:dyDescent="0.2">
      <c r="F469" s="31"/>
      <c r="G469" s="31"/>
      <c r="H469" s="31"/>
    </row>
    <row r="470" spans="6:8" ht="12.75" customHeight="1" x14ac:dyDescent="0.2">
      <c r="F470" s="31"/>
      <c r="G470" s="31"/>
      <c r="H470" s="31"/>
    </row>
    <row r="471" spans="6:8" ht="12.75" customHeight="1" x14ac:dyDescent="0.2">
      <c r="F471" s="31"/>
      <c r="G471" s="31"/>
      <c r="H471" s="31"/>
    </row>
    <row r="472" spans="6:8" ht="12.75" customHeight="1" x14ac:dyDescent="0.2">
      <c r="F472" s="31"/>
      <c r="G472" s="31"/>
      <c r="H472" s="31"/>
    </row>
    <row r="473" spans="6:8" ht="12.75" customHeight="1" x14ac:dyDescent="0.2">
      <c r="F473" s="31"/>
      <c r="G473" s="31"/>
      <c r="H473" s="31"/>
    </row>
    <row r="474" spans="6:8" ht="12.75" customHeight="1" x14ac:dyDescent="0.2">
      <c r="F474" s="31"/>
      <c r="G474" s="31"/>
      <c r="H474" s="31"/>
    </row>
    <row r="475" spans="6:8" ht="12.75" customHeight="1" x14ac:dyDescent="0.2">
      <c r="F475" s="31"/>
      <c r="G475" s="31"/>
      <c r="H475" s="31"/>
    </row>
    <row r="476" spans="6:8" ht="12.75" customHeight="1" x14ac:dyDescent="0.2">
      <c r="F476" s="31"/>
      <c r="G476" s="31"/>
      <c r="H476" s="31"/>
    </row>
    <row r="477" spans="6:8" ht="12.75" customHeight="1" x14ac:dyDescent="0.2">
      <c r="F477" s="31"/>
      <c r="G477" s="31"/>
      <c r="H477" s="31"/>
    </row>
    <row r="478" spans="6:8" ht="12.75" customHeight="1" x14ac:dyDescent="0.2">
      <c r="F478" s="31"/>
      <c r="G478" s="31"/>
      <c r="H478" s="31"/>
    </row>
    <row r="479" spans="6:8" ht="12.75" customHeight="1" x14ac:dyDescent="0.2">
      <c r="F479" s="31"/>
      <c r="G479" s="31"/>
      <c r="H479" s="31"/>
    </row>
    <row r="480" spans="6:8" ht="12.75" customHeight="1" x14ac:dyDescent="0.2">
      <c r="F480" s="31"/>
      <c r="G480" s="31"/>
      <c r="H480" s="31"/>
    </row>
    <row r="481" spans="6:8" ht="12.75" customHeight="1" x14ac:dyDescent="0.2">
      <c r="F481" s="31"/>
      <c r="G481" s="31"/>
      <c r="H481" s="31"/>
    </row>
    <row r="482" spans="6:8" ht="12.75" customHeight="1" x14ac:dyDescent="0.2">
      <c r="F482" s="31"/>
      <c r="G482" s="31"/>
      <c r="H482" s="31"/>
    </row>
    <row r="483" spans="6:8" ht="12.75" customHeight="1" x14ac:dyDescent="0.2">
      <c r="F483" s="31"/>
      <c r="G483" s="31"/>
      <c r="H483" s="31"/>
    </row>
    <row r="484" spans="6:8" ht="12.75" customHeight="1" x14ac:dyDescent="0.2">
      <c r="F484" s="31"/>
      <c r="G484" s="31"/>
      <c r="H484" s="31"/>
    </row>
    <row r="485" spans="6:8" ht="12.75" customHeight="1" x14ac:dyDescent="0.2">
      <c r="F485" s="31"/>
      <c r="G485" s="31"/>
      <c r="H485" s="31"/>
    </row>
    <row r="486" spans="6:8" ht="12.75" customHeight="1" x14ac:dyDescent="0.2">
      <c r="F486" s="31"/>
      <c r="G486" s="31"/>
      <c r="H486" s="31"/>
    </row>
    <row r="487" spans="6:8" ht="12.75" customHeight="1" x14ac:dyDescent="0.2">
      <c r="F487" s="31"/>
      <c r="G487" s="31"/>
      <c r="H487" s="31"/>
    </row>
    <row r="488" spans="6:8" ht="12.75" customHeight="1" x14ac:dyDescent="0.2">
      <c r="F488" s="31"/>
      <c r="G488" s="31"/>
      <c r="H488" s="31"/>
    </row>
    <row r="489" spans="6:8" ht="12.75" customHeight="1" x14ac:dyDescent="0.2">
      <c r="F489" s="31"/>
      <c r="G489" s="31"/>
      <c r="H489" s="31"/>
    </row>
    <row r="490" spans="6:8" ht="12.75" customHeight="1" x14ac:dyDescent="0.2">
      <c r="F490" s="31"/>
      <c r="G490" s="31"/>
      <c r="H490" s="31"/>
    </row>
    <row r="491" spans="6:8" ht="12.75" customHeight="1" x14ac:dyDescent="0.2">
      <c r="F491" s="31"/>
      <c r="G491" s="31"/>
      <c r="H491" s="31"/>
    </row>
    <row r="492" spans="6:8" ht="12.75" customHeight="1" x14ac:dyDescent="0.2">
      <c r="F492" s="31"/>
      <c r="G492" s="31"/>
      <c r="H492" s="31"/>
    </row>
    <row r="493" spans="6:8" ht="12.75" customHeight="1" x14ac:dyDescent="0.2">
      <c r="F493" s="31"/>
      <c r="G493" s="31"/>
      <c r="H493" s="31"/>
    </row>
    <row r="494" spans="6:8" ht="12.75" customHeight="1" x14ac:dyDescent="0.2">
      <c r="F494" s="31"/>
      <c r="G494" s="31"/>
      <c r="H494" s="31"/>
    </row>
    <row r="495" spans="6:8" ht="12.75" customHeight="1" x14ac:dyDescent="0.2">
      <c r="F495" s="31"/>
      <c r="G495" s="31"/>
      <c r="H495" s="31"/>
    </row>
    <row r="496" spans="6:8" ht="12.75" customHeight="1" x14ac:dyDescent="0.2">
      <c r="F496" s="31"/>
      <c r="G496" s="31"/>
      <c r="H496" s="31"/>
    </row>
    <row r="497" spans="6:8" ht="12.75" customHeight="1" x14ac:dyDescent="0.2">
      <c r="F497" s="31"/>
      <c r="G497" s="31"/>
      <c r="H497" s="31"/>
    </row>
    <row r="498" spans="6:8" ht="12.75" customHeight="1" x14ac:dyDescent="0.2">
      <c r="F498" s="31"/>
      <c r="G498" s="31"/>
      <c r="H498" s="31"/>
    </row>
    <row r="499" spans="6:8" ht="12.75" customHeight="1" x14ac:dyDescent="0.2">
      <c r="F499" s="31"/>
      <c r="G499" s="31"/>
      <c r="H499" s="31"/>
    </row>
    <row r="500" spans="6:8" ht="12.75" customHeight="1" x14ac:dyDescent="0.2">
      <c r="F500" s="31"/>
      <c r="G500" s="31"/>
      <c r="H500" s="31"/>
    </row>
    <row r="501" spans="6:8" ht="12.75" customHeight="1" x14ac:dyDescent="0.2">
      <c r="F501" s="31"/>
      <c r="G501" s="31"/>
      <c r="H501" s="31"/>
    </row>
    <row r="502" spans="6:8" ht="12.75" customHeight="1" x14ac:dyDescent="0.2">
      <c r="F502" s="31"/>
      <c r="G502" s="31"/>
      <c r="H502" s="31"/>
    </row>
    <row r="503" spans="6:8" ht="12.75" customHeight="1" x14ac:dyDescent="0.2">
      <c r="F503" s="31"/>
      <c r="G503" s="31"/>
      <c r="H503" s="31"/>
    </row>
    <row r="504" spans="6:8" ht="12.75" customHeight="1" x14ac:dyDescent="0.2">
      <c r="F504" s="31"/>
      <c r="G504" s="31"/>
      <c r="H504" s="31"/>
    </row>
    <row r="505" spans="6:8" ht="12.75" customHeight="1" x14ac:dyDescent="0.2">
      <c r="F505" s="31"/>
      <c r="G505" s="31"/>
      <c r="H505" s="31"/>
    </row>
    <row r="506" spans="6:8" ht="12.75" customHeight="1" x14ac:dyDescent="0.2">
      <c r="F506" s="31"/>
      <c r="G506" s="31"/>
      <c r="H506" s="31"/>
    </row>
    <row r="507" spans="6:8" ht="12.75" customHeight="1" x14ac:dyDescent="0.2">
      <c r="F507" s="31"/>
      <c r="G507" s="31"/>
      <c r="H507" s="31"/>
    </row>
    <row r="508" spans="6:8" ht="12.75" customHeight="1" x14ac:dyDescent="0.2">
      <c r="F508" s="31"/>
      <c r="G508" s="31"/>
      <c r="H508" s="31"/>
    </row>
    <row r="509" spans="6:8" ht="12.75" customHeight="1" x14ac:dyDescent="0.2">
      <c r="F509" s="31"/>
      <c r="G509" s="31"/>
      <c r="H509" s="31"/>
    </row>
    <row r="510" spans="6:8" ht="12.75" customHeight="1" x14ac:dyDescent="0.2">
      <c r="F510" s="31"/>
      <c r="G510" s="31"/>
      <c r="H510" s="31"/>
    </row>
    <row r="511" spans="6:8" ht="12.75" customHeight="1" x14ac:dyDescent="0.2">
      <c r="F511" s="31"/>
      <c r="G511" s="31"/>
      <c r="H511" s="31"/>
    </row>
    <row r="512" spans="6:8" ht="12.75" customHeight="1" x14ac:dyDescent="0.2">
      <c r="F512" s="31"/>
      <c r="G512" s="31"/>
      <c r="H512" s="31"/>
    </row>
    <row r="513" spans="6:8" ht="12.75" customHeight="1" x14ac:dyDescent="0.2">
      <c r="F513" s="31"/>
      <c r="G513" s="31"/>
      <c r="H513" s="31"/>
    </row>
    <row r="514" spans="6:8" ht="12.75" customHeight="1" x14ac:dyDescent="0.2">
      <c r="F514" s="31"/>
      <c r="G514" s="31"/>
      <c r="H514" s="31"/>
    </row>
    <row r="515" spans="6:8" ht="12.75" customHeight="1" x14ac:dyDescent="0.2">
      <c r="F515" s="31"/>
      <c r="G515" s="31"/>
      <c r="H515" s="31"/>
    </row>
    <row r="516" spans="6:8" ht="12.75" customHeight="1" x14ac:dyDescent="0.2">
      <c r="F516" s="31"/>
      <c r="G516" s="31"/>
      <c r="H516" s="31"/>
    </row>
    <row r="517" spans="6:8" ht="12.75" customHeight="1" x14ac:dyDescent="0.2">
      <c r="F517" s="31"/>
      <c r="G517" s="31"/>
      <c r="H517" s="31"/>
    </row>
    <row r="518" spans="6:8" ht="12.75" customHeight="1" x14ac:dyDescent="0.2">
      <c r="F518" s="31"/>
      <c r="G518" s="31"/>
      <c r="H518" s="31"/>
    </row>
    <row r="519" spans="6:8" ht="12.75" customHeight="1" x14ac:dyDescent="0.2">
      <c r="F519" s="31"/>
      <c r="G519" s="31"/>
      <c r="H519" s="31"/>
    </row>
    <row r="520" spans="6:8" ht="12.75" customHeight="1" x14ac:dyDescent="0.2">
      <c r="F520" s="31"/>
      <c r="G520" s="31"/>
      <c r="H520" s="31"/>
    </row>
    <row r="521" spans="6:8" ht="12.75" customHeight="1" x14ac:dyDescent="0.2">
      <c r="F521" s="31"/>
      <c r="G521" s="31"/>
      <c r="H521" s="31"/>
    </row>
    <row r="522" spans="6:8" ht="12.75" customHeight="1" x14ac:dyDescent="0.2">
      <c r="F522" s="31"/>
      <c r="G522" s="31"/>
      <c r="H522" s="31"/>
    </row>
    <row r="523" spans="6:8" ht="12.75" customHeight="1" x14ac:dyDescent="0.2">
      <c r="F523" s="31"/>
      <c r="G523" s="31"/>
      <c r="H523" s="31"/>
    </row>
    <row r="524" spans="6:8" ht="12.75" customHeight="1" x14ac:dyDescent="0.2">
      <c r="F524" s="31"/>
      <c r="G524" s="31"/>
      <c r="H524" s="31"/>
    </row>
    <row r="525" spans="6:8" ht="12.75" customHeight="1" x14ac:dyDescent="0.2">
      <c r="F525" s="31"/>
      <c r="G525" s="31"/>
      <c r="H525" s="31"/>
    </row>
    <row r="526" spans="6:8" ht="12.75" customHeight="1" x14ac:dyDescent="0.2">
      <c r="F526" s="31"/>
      <c r="G526" s="31"/>
      <c r="H526" s="31"/>
    </row>
    <row r="527" spans="6:8" ht="12.75" customHeight="1" x14ac:dyDescent="0.2">
      <c r="F527" s="31"/>
      <c r="G527" s="31"/>
      <c r="H527" s="31"/>
    </row>
    <row r="528" spans="6:8" ht="12.75" customHeight="1" x14ac:dyDescent="0.2">
      <c r="F528" s="31"/>
      <c r="G528" s="31"/>
      <c r="H528" s="31"/>
    </row>
    <row r="529" spans="6:8" ht="12.75" customHeight="1" x14ac:dyDescent="0.2">
      <c r="F529" s="31"/>
      <c r="G529" s="31"/>
      <c r="H529" s="31"/>
    </row>
    <row r="530" spans="6:8" ht="12.75" customHeight="1" x14ac:dyDescent="0.2">
      <c r="F530" s="31"/>
      <c r="G530" s="31"/>
      <c r="H530" s="31"/>
    </row>
    <row r="531" spans="6:8" ht="12.75" customHeight="1" x14ac:dyDescent="0.2">
      <c r="F531" s="31"/>
      <c r="G531" s="31"/>
      <c r="H531" s="31"/>
    </row>
    <row r="532" spans="6:8" ht="12.75" customHeight="1" x14ac:dyDescent="0.2">
      <c r="F532" s="31"/>
      <c r="G532" s="31"/>
      <c r="H532" s="31"/>
    </row>
    <row r="533" spans="6:8" ht="12.75" customHeight="1" x14ac:dyDescent="0.2">
      <c r="F533" s="31"/>
      <c r="G533" s="31"/>
      <c r="H533" s="31"/>
    </row>
    <row r="534" spans="6:8" ht="12.75" customHeight="1" x14ac:dyDescent="0.2">
      <c r="F534" s="31"/>
      <c r="G534" s="31"/>
      <c r="H534" s="31"/>
    </row>
    <row r="535" spans="6:8" ht="12.75" customHeight="1" x14ac:dyDescent="0.2">
      <c r="F535" s="31"/>
      <c r="G535" s="31"/>
      <c r="H535" s="31"/>
    </row>
    <row r="536" spans="6:8" ht="12.75" customHeight="1" x14ac:dyDescent="0.2">
      <c r="F536" s="31"/>
      <c r="G536" s="31"/>
      <c r="H536" s="31"/>
    </row>
    <row r="537" spans="6:8" ht="12.75" customHeight="1" x14ac:dyDescent="0.2">
      <c r="F537" s="31"/>
      <c r="G537" s="31"/>
      <c r="H537" s="31"/>
    </row>
    <row r="538" spans="6:8" ht="12.75" customHeight="1" x14ac:dyDescent="0.2">
      <c r="F538" s="31"/>
      <c r="G538" s="31"/>
      <c r="H538" s="31"/>
    </row>
    <row r="539" spans="6:8" ht="12.75" customHeight="1" x14ac:dyDescent="0.2">
      <c r="F539" s="31"/>
      <c r="G539" s="31"/>
      <c r="H539" s="31"/>
    </row>
    <row r="540" spans="6:8" ht="12.75" customHeight="1" x14ac:dyDescent="0.2">
      <c r="F540" s="31"/>
      <c r="G540" s="31"/>
      <c r="H540" s="31"/>
    </row>
    <row r="541" spans="6:8" ht="12.75" customHeight="1" x14ac:dyDescent="0.2">
      <c r="F541" s="31"/>
      <c r="G541" s="31"/>
      <c r="H541" s="31"/>
    </row>
    <row r="542" spans="6:8" ht="12.75" customHeight="1" x14ac:dyDescent="0.2">
      <c r="F542" s="31"/>
      <c r="G542" s="31"/>
      <c r="H542" s="31"/>
    </row>
    <row r="543" spans="6:8" ht="12.75" customHeight="1" x14ac:dyDescent="0.2">
      <c r="F543" s="31"/>
      <c r="G543" s="31"/>
      <c r="H543" s="31"/>
    </row>
    <row r="544" spans="6:8" ht="12.75" customHeight="1" x14ac:dyDescent="0.2">
      <c r="F544" s="31"/>
      <c r="G544" s="31"/>
      <c r="H544" s="31"/>
    </row>
    <row r="545" spans="6:8" ht="12.75" customHeight="1" x14ac:dyDescent="0.2">
      <c r="F545" s="31"/>
      <c r="G545" s="31"/>
      <c r="H545" s="31"/>
    </row>
    <row r="546" spans="6:8" ht="12.75" customHeight="1" x14ac:dyDescent="0.2">
      <c r="F546" s="31"/>
      <c r="G546" s="31"/>
      <c r="H546" s="31"/>
    </row>
    <row r="547" spans="6:8" ht="12.75" customHeight="1" x14ac:dyDescent="0.2">
      <c r="F547" s="31"/>
      <c r="G547" s="31"/>
      <c r="H547" s="31"/>
    </row>
    <row r="548" spans="6:8" ht="12.75" customHeight="1" x14ac:dyDescent="0.2">
      <c r="F548" s="31"/>
      <c r="G548" s="31"/>
      <c r="H548" s="31"/>
    </row>
    <row r="549" spans="6:8" ht="12.75" customHeight="1" x14ac:dyDescent="0.2">
      <c r="F549" s="31"/>
      <c r="G549" s="31"/>
      <c r="H549" s="31"/>
    </row>
    <row r="550" spans="6:8" ht="12.75" customHeight="1" x14ac:dyDescent="0.2">
      <c r="F550" s="31"/>
      <c r="G550" s="31"/>
      <c r="H550" s="31"/>
    </row>
    <row r="551" spans="6:8" ht="12.75" customHeight="1" x14ac:dyDescent="0.2">
      <c r="F551" s="31"/>
      <c r="G551" s="31"/>
      <c r="H551" s="31"/>
    </row>
    <row r="552" spans="6:8" ht="12.75" customHeight="1" x14ac:dyDescent="0.2">
      <c r="F552" s="31"/>
      <c r="G552" s="31"/>
      <c r="H552" s="31"/>
    </row>
    <row r="553" spans="6:8" ht="12.75" customHeight="1" x14ac:dyDescent="0.2">
      <c r="F553" s="31"/>
      <c r="G553" s="31"/>
      <c r="H553" s="31"/>
    </row>
    <row r="554" spans="6:8" ht="12.75" customHeight="1" x14ac:dyDescent="0.2">
      <c r="F554" s="31"/>
      <c r="G554" s="31"/>
      <c r="H554" s="31"/>
    </row>
    <row r="555" spans="6:8" ht="12.75" customHeight="1" x14ac:dyDescent="0.2">
      <c r="F555" s="31"/>
      <c r="G555" s="31"/>
      <c r="H555" s="31"/>
    </row>
    <row r="556" spans="6:8" ht="12.75" customHeight="1" x14ac:dyDescent="0.2">
      <c r="F556" s="31"/>
      <c r="G556" s="31"/>
      <c r="H556" s="31"/>
    </row>
    <row r="557" spans="6:8" ht="12.75" customHeight="1" x14ac:dyDescent="0.2">
      <c r="F557" s="31"/>
      <c r="G557" s="31"/>
      <c r="H557" s="31"/>
    </row>
    <row r="558" spans="6:8" ht="12.75" customHeight="1" x14ac:dyDescent="0.2">
      <c r="F558" s="31"/>
      <c r="G558" s="31"/>
      <c r="H558" s="31"/>
    </row>
    <row r="559" spans="6:8" ht="12.75" customHeight="1" x14ac:dyDescent="0.2">
      <c r="F559" s="31"/>
      <c r="G559" s="31"/>
      <c r="H559" s="31"/>
    </row>
    <row r="560" spans="6:8" ht="12.75" customHeight="1" x14ac:dyDescent="0.2">
      <c r="F560" s="31"/>
      <c r="G560" s="31"/>
      <c r="H560" s="31"/>
    </row>
    <row r="561" spans="6:8" ht="12.75" customHeight="1" x14ac:dyDescent="0.2">
      <c r="F561" s="31"/>
      <c r="G561" s="31"/>
      <c r="H561" s="31"/>
    </row>
    <row r="562" spans="6:8" ht="12.75" customHeight="1" x14ac:dyDescent="0.2">
      <c r="F562" s="31"/>
      <c r="G562" s="31"/>
      <c r="H562" s="31"/>
    </row>
    <row r="563" spans="6:8" ht="12.75" customHeight="1" x14ac:dyDescent="0.2">
      <c r="F563" s="31"/>
      <c r="G563" s="31"/>
      <c r="H563" s="31"/>
    </row>
    <row r="564" spans="6:8" ht="12.75" customHeight="1" x14ac:dyDescent="0.2">
      <c r="F564" s="31"/>
      <c r="G564" s="31"/>
      <c r="H564" s="31"/>
    </row>
    <row r="565" spans="6:8" ht="12.75" customHeight="1" x14ac:dyDescent="0.2">
      <c r="F565" s="31"/>
      <c r="G565" s="31"/>
      <c r="H565" s="31"/>
    </row>
    <row r="566" spans="6:8" ht="12.75" customHeight="1" x14ac:dyDescent="0.2">
      <c r="F566" s="31"/>
      <c r="G566" s="31"/>
      <c r="H566" s="31"/>
    </row>
    <row r="567" spans="6:8" ht="12.75" customHeight="1" x14ac:dyDescent="0.2">
      <c r="F567" s="31"/>
      <c r="G567" s="31"/>
      <c r="H567" s="31"/>
    </row>
    <row r="568" spans="6:8" ht="12.75" customHeight="1" x14ac:dyDescent="0.2">
      <c r="F568" s="31"/>
      <c r="G568" s="31"/>
      <c r="H568" s="31"/>
    </row>
    <row r="569" spans="6:8" ht="12.75" customHeight="1" x14ac:dyDescent="0.2">
      <c r="F569" s="31"/>
      <c r="G569" s="31"/>
      <c r="H569" s="31"/>
    </row>
    <row r="570" spans="6:8" ht="12.75" customHeight="1" x14ac:dyDescent="0.2">
      <c r="F570" s="31"/>
      <c r="G570" s="31"/>
      <c r="H570" s="31"/>
    </row>
    <row r="571" spans="6:8" ht="12.75" customHeight="1" x14ac:dyDescent="0.2">
      <c r="F571" s="31"/>
      <c r="G571" s="31"/>
      <c r="H571" s="31"/>
    </row>
    <row r="572" spans="6:8" ht="12.75" customHeight="1" x14ac:dyDescent="0.2">
      <c r="F572" s="31"/>
      <c r="G572" s="31"/>
      <c r="H572" s="31"/>
    </row>
    <row r="573" spans="6:8" ht="12.75" customHeight="1" x14ac:dyDescent="0.2">
      <c r="F573" s="31"/>
      <c r="G573" s="31"/>
      <c r="H573" s="31"/>
    </row>
    <row r="574" spans="6:8" ht="12.75" customHeight="1" x14ac:dyDescent="0.2">
      <c r="F574" s="31"/>
      <c r="G574" s="31"/>
      <c r="H574" s="31"/>
    </row>
    <row r="575" spans="6:8" ht="12.75" customHeight="1" x14ac:dyDescent="0.2">
      <c r="F575" s="31"/>
      <c r="G575" s="31"/>
      <c r="H575" s="31"/>
    </row>
    <row r="576" spans="6:8" ht="12.75" customHeight="1" x14ac:dyDescent="0.2">
      <c r="F576" s="31"/>
      <c r="G576" s="31"/>
      <c r="H576" s="31"/>
    </row>
    <row r="577" spans="6:8" ht="12.75" customHeight="1" x14ac:dyDescent="0.2">
      <c r="F577" s="31"/>
      <c r="G577" s="31"/>
      <c r="H577" s="31"/>
    </row>
    <row r="578" spans="6:8" ht="12.75" customHeight="1" x14ac:dyDescent="0.2">
      <c r="F578" s="31"/>
      <c r="G578" s="31"/>
      <c r="H578" s="31"/>
    </row>
    <row r="579" spans="6:8" ht="12.75" customHeight="1" x14ac:dyDescent="0.2">
      <c r="F579" s="31"/>
      <c r="G579" s="31"/>
      <c r="H579" s="31"/>
    </row>
    <row r="580" spans="6:8" ht="12.75" customHeight="1" x14ac:dyDescent="0.2">
      <c r="F580" s="31"/>
      <c r="G580" s="31"/>
      <c r="H580" s="31"/>
    </row>
    <row r="581" spans="6:8" ht="12.75" customHeight="1" x14ac:dyDescent="0.2">
      <c r="F581" s="31"/>
      <c r="G581" s="31"/>
      <c r="H581" s="31"/>
    </row>
    <row r="582" spans="6:8" ht="12.75" customHeight="1" x14ac:dyDescent="0.2">
      <c r="F582" s="31"/>
      <c r="G582" s="31"/>
      <c r="H582" s="31"/>
    </row>
    <row r="583" spans="6:8" ht="12.75" customHeight="1" x14ac:dyDescent="0.2">
      <c r="F583" s="31"/>
      <c r="G583" s="31"/>
      <c r="H583" s="31"/>
    </row>
    <row r="584" spans="6:8" ht="12.75" customHeight="1" x14ac:dyDescent="0.2">
      <c r="F584" s="31"/>
      <c r="G584" s="31"/>
      <c r="H584" s="31"/>
    </row>
    <row r="585" spans="6:8" ht="12.75" customHeight="1" x14ac:dyDescent="0.2">
      <c r="F585" s="31"/>
      <c r="G585" s="31"/>
      <c r="H585" s="31"/>
    </row>
    <row r="586" spans="6:8" ht="12.75" customHeight="1" x14ac:dyDescent="0.2">
      <c r="F586" s="31"/>
      <c r="G586" s="31"/>
      <c r="H586" s="31"/>
    </row>
    <row r="587" spans="6:8" ht="12.75" customHeight="1" x14ac:dyDescent="0.2">
      <c r="F587" s="31"/>
      <c r="G587" s="31"/>
      <c r="H587" s="31"/>
    </row>
    <row r="588" spans="6:8" ht="12.75" customHeight="1" x14ac:dyDescent="0.2">
      <c r="F588" s="31"/>
      <c r="G588" s="31"/>
      <c r="H588" s="31"/>
    </row>
    <row r="589" spans="6:8" ht="12.75" customHeight="1" x14ac:dyDescent="0.2">
      <c r="F589" s="31"/>
      <c r="G589" s="31"/>
      <c r="H589" s="31"/>
    </row>
    <row r="590" spans="6:8" ht="12.75" customHeight="1" x14ac:dyDescent="0.2">
      <c r="F590" s="31"/>
      <c r="G590" s="31"/>
      <c r="H590" s="31"/>
    </row>
    <row r="591" spans="6:8" ht="12.75" customHeight="1" x14ac:dyDescent="0.2">
      <c r="F591" s="31"/>
      <c r="G591" s="31"/>
      <c r="H591" s="31"/>
    </row>
    <row r="592" spans="6:8" ht="12.75" customHeight="1" x14ac:dyDescent="0.2">
      <c r="F592" s="31"/>
      <c r="G592" s="31"/>
      <c r="H592" s="31"/>
    </row>
    <row r="593" spans="6:8" ht="12.75" customHeight="1" x14ac:dyDescent="0.2">
      <c r="F593" s="31"/>
      <c r="G593" s="31"/>
      <c r="H593" s="31"/>
    </row>
    <row r="594" spans="6:8" ht="12.75" customHeight="1" x14ac:dyDescent="0.2">
      <c r="F594" s="31"/>
      <c r="G594" s="31"/>
      <c r="H594" s="31"/>
    </row>
    <row r="595" spans="6:8" ht="12.75" customHeight="1" x14ac:dyDescent="0.2">
      <c r="F595" s="31"/>
      <c r="G595" s="31"/>
      <c r="H595" s="31"/>
    </row>
    <row r="596" spans="6:8" ht="12.75" customHeight="1" x14ac:dyDescent="0.2">
      <c r="F596" s="31"/>
      <c r="G596" s="31"/>
      <c r="H596" s="31"/>
    </row>
    <row r="597" spans="6:8" ht="12.75" customHeight="1" x14ac:dyDescent="0.2">
      <c r="F597" s="31"/>
      <c r="G597" s="31"/>
      <c r="H597" s="31"/>
    </row>
    <row r="598" spans="6:8" ht="12.75" customHeight="1" x14ac:dyDescent="0.2">
      <c r="F598" s="31"/>
      <c r="G598" s="31"/>
      <c r="H598" s="31"/>
    </row>
    <row r="599" spans="6:8" ht="12.75" customHeight="1" x14ac:dyDescent="0.2">
      <c r="F599" s="31"/>
      <c r="G599" s="31"/>
      <c r="H599" s="31"/>
    </row>
    <row r="600" spans="6:8" ht="12.75" customHeight="1" x14ac:dyDescent="0.2">
      <c r="F600" s="31"/>
      <c r="G600" s="31"/>
      <c r="H600" s="31"/>
    </row>
    <row r="601" spans="6:8" ht="12.75" customHeight="1" x14ac:dyDescent="0.2">
      <c r="F601" s="31"/>
      <c r="G601" s="31"/>
      <c r="H601" s="31"/>
    </row>
    <row r="602" spans="6:8" ht="12.75" customHeight="1" x14ac:dyDescent="0.2">
      <c r="F602" s="31"/>
      <c r="G602" s="31"/>
      <c r="H602" s="31"/>
    </row>
    <row r="603" spans="6:8" ht="12.75" customHeight="1" x14ac:dyDescent="0.2">
      <c r="F603" s="31"/>
      <c r="G603" s="31"/>
      <c r="H603" s="31"/>
    </row>
    <row r="604" spans="6:8" ht="12.75" customHeight="1" x14ac:dyDescent="0.2">
      <c r="F604" s="31"/>
      <c r="G604" s="31"/>
      <c r="H604" s="31"/>
    </row>
    <row r="605" spans="6:8" ht="12.75" customHeight="1" x14ac:dyDescent="0.2">
      <c r="F605" s="31"/>
      <c r="G605" s="31"/>
      <c r="H605" s="31"/>
    </row>
    <row r="606" spans="6:8" ht="12.75" customHeight="1" x14ac:dyDescent="0.2">
      <c r="F606" s="31"/>
      <c r="G606" s="31"/>
      <c r="H606" s="31"/>
    </row>
    <row r="607" spans="6:8" ht="12.75" customHeight="1" x14ac:dyDescent="0.2">
      <c r="F607" s="31"/>
      <c r="G607" s="31"/>
      <c r="H607" s="31"/>
    </row>
    <row r="608" spans="6:8" ht="12.75" customHeight="1" x14ac:dyDescent="0.2">
      <c r="F608" s="31"/>
      <c r="G608" s="31"/>
      <c r="H608" s="31"/>
    </row>
    <row r="609" spans="6:8" ht="12.75" customHeight="1" x14ac:dyDescent="0.2">
      <c r="F609" s="31"/>
      <c r="G609" s="31"/>
      <c r="H609" s="31"/>
    </row>
    <row r="610" spans="6:8" ht="12.75" customHeight="1" x14ac:dyDescent="0.2">
      <c r="F610" s="31"/>
      <c r="G610" s="31"/>
      <c r="H610" s="31"/>
    </row>
    <row r="611" spans="6:8" ht="12.75" customHeight="1" x14ac:dyDescent="0.2">
      <c r="F611" s="31"/>
      <c r="G611" s="31"/>
      <c r="H611" s="31"/>
    </row>
    <row r="612" spans="6:8" ht="12.75" customHeight="1" x14ac:dyDescent="0.2">
      <c r="F612" s="31"/>
      <c r="G612" s="31"/>
      <c r="H612" s="31"/>
    </row>
    <row r="613" spans="6:8" ht="12.75" customHeight="1" x14ac:dyDescent="0.2">
      <c r="F613" s="31"/>
      <c r="G613" s="31"/>
      <c r="H613" s="31"/>
    </row>
    <row r="614" spans="6:8" ht="12.75" customHeight="1" x14ac:dyDescent="0.2">
      <c r="F614" s="31"/>
      <c r="G614" s="31"/>
      <c r="H614" s="31"/>
    </row>
    <row r="615" spans="6:8" ht="12.75" customHeight="1" x14ac:dyDescent="0.2">
      <c r="F615" s="31"/>
      <c r="G615" s="31"/>
      <c r="H615" s="31"/>
    </row>
    <row r="616" spans="6:8" ht="12.75" customHeight="1" x14ac:dyDescent="0.2">
      <c r="F616" s="31"/>
      <c r="G616" s="31"/>
      <c r="H616" s="31"/>
    </row>
    <row r="617" spans="6:8" ht="12.75" customHeight="1" x14ac:dyDescent="0.2">
      <c r="F617" s="31"/>
      <c r="G617" s="31"/>
      <c r="H617" s="31"/>
    </row>
    <row r="618" spans="6:8" ht="12.75" customHeight="1" x14ac:dyDescent="0.2">
      <c r="F618" s="31"/>
      <c r="G618" s="31"/>
      <c r="H618" s="31"/>
    </row>
    <row r="619" spans="6:8" ht="12.75" customHeight="1" x14ac:dyDescent="0.2">
      <c r="F619" s="31"/>
      <c r="G619" s="31"/>
      <c r="H619" s="31"/>
    </row>
    <row r="620" spans="6:8" ht="12.75" customHeight="1" x14ac:dyDescent="0.2">
      <c r="F620" s="31"/>
      <c r="G620" s="31"/>
      <c r="H620" s="31"/>
    </row>
    <row r="621" spans="6:8" ht="12.75" customHeight="1" x14ac:dyDescent="0.2">
      <c r="F621" s="31"/>
      <c r="G621" s="31"/>
      <c r="H621" s="31"/>
    </row>
    <row r="622" spans="6:8" ht="12.75" customHeight="1" x14ac:dyDescent="0.2">
      <c r="F622" s="31"/>
      <c r="G622" s="31"/>
      <c r="H622" s="31"/>
    </row>
    <row r="623" spans="6:8" ht="12.75" customHeight="1" x14ac:dyDescent="0.2">
      <c r="F623" s="31"/>
      <c r="G623" s="31"/>
      <c r="H623" s="31"/>
    </row>
    <row r="624" spans="6:8" ht="12.75" customHeight="1" x14ac:dyDescent="0.2">
      <c r="F624" s="31"/>
      <c r="G624" s="31"/>
      <c r="H624" s="31"/>
    </row>
    <row r="625" spans="6:8" ht="12.75" customHeight="1" x14ac:dyDescent="0.2">
      <c r="F625" s="31"/>
      <c r="G625" s="31"/>
      <c r="H625" s="31"/>
    </row>
    <row r="626" spans="6:8" ht="12.75" customHeight="1" x14ac:dyDescent="0.2">
      <c r="F626" s="31"/>
      <c r="G626" s="31"/>
      <c r="H626" s="31"/>
    </row>
    <row r="627" spans="6:8" ht="12.75" customHeight="1" x14ac:dyDescent="0.2">
      <c r="F627" s="31"/>
      <c r="G627" s="31"/>
      <c r="H627" s="31"/>
    </row>
    <row r="628" spans="6:8" ht="12.75" customHeight="1" x14ac:dyDescent="0.2">
      <c r="F628" s="31"/>
      <c r="G628" s="31"/>
      <c r="H628" s="31"/>
    </row>
    <row r="629" spans="6:8" ht="12.75" customHeight="1" x14ac:dyDescent="0.2">
      <c r="F629" s="31"/>
      <c r="G629" s="31"/>
      <c r="H629" s="31"/>
    </row>
    <row r="630" spans="6:8" ht="12.75" customHeight="1" x14ac:dyDescent="0.2">
      <c r="F630" s="31"/>
      <c r="G630" s="31"/>
      <c r="H630" s="31"/>
    </row>
    <row r="631" spans="6:8" ht="12.75" customHeight="1" x14ac:dyDescent="0.2">
      <c r="F631" s="31"/>
      <c r="G631" s="31"/>
      <c r="H631" s="31"/>
    </row>
    <row r="632" spans="6:8" ht="12.75" customHeight="1" x14ac:dyDescent="0.2">
      <c r="F632" s="31"/>
      <c r="G632" s="31"/>
      <c r="H632" s="31"/>
    </row>
    <row r="633" spans="6:8" ht="12.75" customHeight="1" x14ac:dyDescent="0.2">
      <c r="F633" s="31"/>
      <c r="G633" s="31"/>
      <c r="H633" s="31"/>
    </row>
    <row r="634" spans="6:8" ht="12.75" customHeight="1" x14ac:dyDescent="0.2">
      <c r="F634" s="31"/>
      <c r="G634" s="31"/>
      <c r="H634" s="31"/>
    </row>
    <row r="635" spans="6:8" ht="12.75" customHeight="1" x14ac:dyDescent="0.2">
      <c r="F635" s="31"/>
      <c r="G635" s="31"/>
      <c r="H635" s="31"/>
    </row>
    <row r="636" spans="6:8" ht="12.75" customHeight="1" x14ac:dyDescent="0.2">
      <c r="F636" s="31"/>
      <c r="G636" s="31"/>
      <c r="H636" s="31"/>
    </row>
    <row r="637" spans="6:8" ht="12.75" customHeight="1" x14ac:dyDescent="0.2">
      <c r="F637" s="31"/>
      <c r="G637" s="31"/>
      <c r="H637" s="31"/>
    </row>
    <row r="638" spans="6:8" ht="12.75" customHeight="1" x14ac:dyDescent="0.2">
      <c r="F638" s="31"/>
      <c r="G638" s="31"/>
      <c r="H638" s="31"/>
    </row>
    <row r="639" spans="6:8" ht="12.75" customHeight="1" x14ac:dyDescent="0.2">
      <c r="F639" s="31"/>
      <c r="G639" s="31"/>
      <c r="H639" s="31"/>
    </row>
    <row r="640" spans="6:8" ht="12.75" customHeight="1" x14ac:dyDescent="0.2">
      <c r="F640" s="31"/>
      <c r="G640" s="31"/>
      <c r="H640" s="31"/>
    </row>
    <row r="641" spans="6:8" ht="12.75" customHeight="1" x14ac:dyDescent="0.2">
      <c r="F641" s="31"/>
      <c r="G641" s="31"/>
      <c r="H641" s="31"/>
    </row>
    <row r="642" spans="6:8" ht="12.75" customHeight="1" x14ac:dyDescent="0.2">
      <c r="F642" s="31"/>
      <c r="G642" s="31"/>
      <c r="H642" s="31"/>
    </row>
    <row r="643" spans="6:8" ht="12.75" customHeight="1" x14ac:dyDescent="0.2">
      <c r="F643" s="31"/>
      <c r="G643" s="31"/>
      <c r="H643" s="31"/>
    </row>
    <row r="644" spans="6:8" ht="12.75" customHeight="1" x14ac:dyDescent="0.2">
      <c r="F644" s="31"/>
      <c r="G644" s="31"/>
      <c r="H644" s="31"/>
    </row>
    <row r="645" spans="6:8" ht="12.75" customHeight="1" x14ac:dyDescent="0.2">
      <c r="F645" s="31"/>
      <c r="G645" s="31"/>
      <c r="H645" s="31"/>
    </row>
    <row r="646" spans="6:8" ht="12.75" customHeight="1" x14ac:dyDescent="0.2">
      <c r="F646" s="31"/>
      <c r="G646" s="31"/>
      <c r="H646" s="31"/>
    </row>
    <row r="647" spans="6:8" ht="12.75" customHeight="1" x14ac:dyDescent="0.2">
      <c r="F647" s="31"/>
      <c r="G647" s="31"/>
      <c r="H647" s="31"/>
    </row>
    <row r="648" spans="6:8" ht="12.75" customHeight="1" x14ac:dyDescent="0.2">
      <c r="F648" s="31"/>
      <c r="G648" s="31"/>
      <c r="H648" s="31"/>
    </row>
    <row r="649" spans="6:8" ht="12.75" customHeight="1" x14ac:dyDescent="0.2">
      <c r="F649" s="31"/>
      <c r="G649" s="31"/>
      <c r="H649" s="31"/>
    </row>
    <row r="650" spans="6:8" ht="12.75" customHeight="1" x14ac:dyDescent="0.2">
      <c r="F650" s="31"/>
      <c r="G650" s="31"/>
      <c r="H650" s="31"/>
    </row>
    <row r="651" spans="6:8" ht="12.75" customHeight="1" x14ac:dyDescent="0.2">
      <c r="F651" s="31"/>
      <c r="G651" s="31"/>
      <c r="H651" s="31"/>
    </row>
    <row r="652" spans="6:8" ht="12.75" customHeight="1" x14ac:dyDescent="0.2">
      <c r="F652" s="31"/>
      <c r="G652" s="31"/>
      <c r="H652" s="31"/>
    </row>
    <row r="653" spans="6:8" ht="12.75" customHeight="1" x14ac:dyDescent="0.2">
      <c r="F653" s="31"/>
      <c r="G653" s="31"/>
      <c r="H653" s="31"/>
    </row>
    <row r="654" spans="6:8" ht="12.75" customHeight="1" x14ac:dyDescent="0.2">
      <c r="F654" s="31"/>
      <c r="G654" s="31"/>
      <c r="H654" s="31"/>
    </row>
    <row r="655" spans="6:8" ht="12.75" customHeight="1" x14ac:dyDescent="0.2">
      <c r="F655" s="31"/>
      <c r="G655" s="31"/>
      <c r="H655" s="31"/>
    </row>
    <row r="656" spans="6:8" ht="12.75" customHeight="1" x14ac:dyDescent="0.2">
      <c r="F656" s="31"/>
      <c r="G656" s="31"/>
      <c r="H656" s="31"/>
    </row>
    <row r="657" spans="6:8" ht="12.75" customHeight="1" x14ac:dyDescent="0.2">
      <c r="F657" s="31"/>
      <c r="G657" s="31"/>
      <c r="H657" s="31"/>
    </row>
    <row r="658" spans="6:8" ht="12.75" customHeight="1" x14ac:dyDescent="0.2">
      <c r="F658" s="31"/>
      <c r="G658" s="31"/>
      <c r="H658" s="31"/>
    </row>
    <row r="659" spans="6:8" ht="12.75" customHeight="1" x14ac:dyDescent="0.2">
      <c r="F659" s="31"/>
      <c r="G659" s="31"/>
      <c r="H659" s="31"/>
    </row>
    <row r="660" spans="6:8" ht="12.75" customHeight="1" x14ac:dyDescent="0.2">
      <c r="F660" s="31"/>
      <c r="G660" s="31"/>
      <c r="H660" s="31"/>
    </row>
    <row r="661" spans="6:8" ht="12.75" customHeight="1" x14ac:dyDescent="0.2">
      <c r="F661" s="31"/>
      <c r="G661" s="31"/>
      <c r="H661" s="31"/>
    </row>
    <row r="662" spans="6:8" ht="12.75" customHeight="1" x14ac:dyDescent="0.2">
      <c r="F662" s="31"/>
      <c r="G662" s="31"/>
      <c r="H662" s="31"/>
    </row>
    <row r="663" spans="6:8" ht="12.75" customHeight="1" x14ac:dyDescent="0.2">
      <c r="F663" s="31"/>
      <c r="G663" s="31"/>
      <c r="H663" s="31"/>
    </row>
    <row r="664" spans="6:8" ht="12.75" customHeight="1" x14ac:dyDescent="0.2">
      <c r="F664" s="31"/>
      <c r="G664" s="31"/>
      <c r="H664" s="31"/>
    </row>
    <row r="665" spans="6:8" ht="12.75" customHeight="1" x14ac:dyDescent="0.2">
      <c r="F665" s="31"/>
      <c r="G665" s="31"/>
      <c r="H665" s="31"/>
    </row>
    <row r="666" spans="6:8" ht="12.75" customHeight="1" x14ac:dyDescent="0.2">
      <c r="F666" s="31"/>
      <c r="G666" s="31"/>
      <c r="H666" s="31"/>
    </row>
    <row r="667" spans="6:8" ht="12.75" customHeight="1" x14ac:dyDescent="0.2">
      <c r="F667" s="31"/>
      <c r="G667" s="31"/>
      <c r="H667" s="31"/>
    </row>
    <row r="668" spans="6:8" ht="12.75" customHeight="1" x14ac:dyDescent="0.2">
      <c r="F668" s="31"/>
      <c r="G668" s="31"/>
      <c r="H668" s="31"/>
    </row>
    <row r="669" spans="6:8" ht="12.75" customHeight="1" x14ac:dyDescent="0.2">
      <c r="F669" s="31"/>
      <c r="G669" s="31"/>
      <c r="H669" s="31"/>
    </row>
    <row r="670" spans="6:8" ht="12.75" customHeight="1" x14ac:dyDescent="0.2">
      <c r="F670" s="31"/>
      <c r="G670" s="31"/>
      <c r="H670" s="31"/>
    </row>
    <row r="671" spans="6:8" ht="12.75" customHeight="1" x14ac:dyDescent="0.2">
      <c r="F671" s="31"/>
      <c r="G671" s="31"/>
      <c r="H671" s="31"/>
    </row>
    <row r="672" spans="6:8" ht="12.75" customHeight="1" x14ac:dyDescent="0.2">
      <c r="F672" s="31"/>
      <c r="G672" s="31"/>
      <c r="H672" s="31"/>
    </row>
    <row r="673" spans="6:8" ht="12.75" customHeight="1" x14ac:dyDescent="0.2">
      <c r="F673" s="31"/>
      <c r="G673" s="31"/>
      <c r="H673" s="31"/>
    </row>
    <row r="674" spans="6:8" ht="12.75" customHeight="1" x14ac:dyDescent="0.2">
      <c r="F674" s="31"/>
      <c r="G674" s="31"/>
      <c r="H674" s="31"/>
    </row>
    <row r="675" spans="6:8" ht="12.75" customHeight="1" x14ac:dyDescent="0.2">
      <c r="F675" s="31"/>
      <c r="G675" s="31"/>
      <c r="H675" s="31"/>
    </row>
    <row r="676" spans="6:8" ht="12.75" customHeight="1" x14ac:dyDescent="0.2">
      <c r="F676" s="31"/>
      <c r="G676" s="31"/>
      <c r="H676" s="31"/>
    </row>
    <row r="677" spans="6:8" ht="12.75" customHeight="1" x14ac:dyDescent="0.2">
      <c r="F677" s="31"/>
      <c r="G677" s="31"/>
      <c r="H677" s="31"/>
    </row>
    <row r="678" spans="6:8" ht="12.75" customHeight="1" x14ac:dyDescent="0.2">
      <c r="F678" s="31"/>
      <c r="G678" s="31"/>
      <c r="H678" s="31"/>
    </row>
    <row r="679" spans="6:8" ht="12.75" customHeight="1" x14ac:dyDescent="0.2">
      <c r="F679" s="31"/>
      <c r="G679" s="31"/>
      <c r="H679" s="31"/>
    </row>
    <row r="680" spans="6:8" ht="12.75" customHeight="1" x14ac:dyDescent="0.2">
      <c r="F680" s="31"/>
      <c r="G680" s="31"/>
      <c r="H680" s="31"/>
    </row>
    <row r="681" spans="6:8" ht="12.75" customHeight="1" x14ac:dyDescent="0.2">
      <c r="F681" s="31"/>
      <c r="G681" s="31"/>
      <c r="H681" s="31"/>
    </row>
    <row r="682" spans="6:8" ht="12.75" customHeight="1" x14ac:dyDescent="0.2">
      <c r="F682" s="31"/>
      <c r="G682" s="31"/>
      <c r="H682" s="31"/>
    </row>
    <row r="683" spans="6:8" ht="12.75" customHeight="1" x14ac:dyDescent="0.2">
      <c r="F683" s="31"/>
      <c r="G683" s="31"/>
      <c r="H683" s="31"/>
    </row>
    <row r="684" spans="6:8" ht="12.75" customHeight="1" x14ac:dyDescent="0.2">
      <c r="F684" s="31"/>
      <c r="G684" s="31"/>
      <c r="H684" s="31"/>
    </row>
    <row r="685" spans="6:8" ht="12.75" customHeight="1" x14ac:dyDescent="0.2">
      <c r="F685" s="31"/>
      <c r="G685" s="31"/>
      <c r="H685" s="31"/>
    </row>
    <row r="686" spans="6:8" ht="12.75" customHeight="1" x14ac:dyDescent="0.2">
      <c r="F686" s="31"/>
      <c r="G686" s="31"/>
      <c r="H686" s="31"/>
    </row>
    <row r="687" spans="6:8" ht="12.75" customHeight="1" x14ac:dyDescent="0.2">
      <c r="F687" s="31"/>
      <c r="G687" s="31"/>
      <c r="H687" s="31"/>
    </row>
    <row r="688" spans="6:8" ht="12.75" customHeight="1" x14ac:dyDescent="0.2">
      <c r="F688" s="31"/>
      <c r="G688" s="31"/>
      <c r="H688" s="31"/>
    </row>
    <row r="689" spans="6:8" ht="12.75" customHeight="1" x14ac:dyDescent="0.2">
      <c r="F689" s="31"/>
      <c r="G689" s="31"/>
      <c r="H689" s="31"/>
    </row>
    <row r="690" spans="6:8" ht="12.75" customHeight="1" x14ac:dyDescent="0.2">
      <c r="F690" s="31"/>
      <c r="G690" s="31"/>
      <c r="H690" s="31"/>
    </row>
    <row r="691" spans="6:8" ht="12.75" customHeight="1" x14ac:dyDescent="0.2">
      <c r="F691" s="31"/>
      <c r="G691" s="31"/>
      <c r="H691" s="31"/>
    </row>
    <row r="692" spans="6:8" ht="12.75" customHeight="1" x14ac:dyDescent="0.2">
      <c r="F692" s="31"/>
      <c r="G692" s="31"/>
      <c r="H692" s="31"/>
    </row>
    <row r="693" spans="6:8" ht="12.75" customHeight="1" x14ac:dyDescent="0.2">
      <c r="F693" s="31"/>
      <c r="G693" s="31"/>
      <c r="H693" s="31"/>
    </row>
    <row r="694" spans="6:8" ht="12.75" customHeight="1" x14ac:dyDescent="0.2">
      <c r="F694" s="31"/>
      <c r="G694" s="31"/>
      <c r="H694" s="31"/>
    </row>
    <row r="695" spans="6:8" ht="12.75" customHeight="1" x14ac:dyDescent="0.2">
      <c r="F695" s="31"/>
      <c r="G695" s="31"/>
      <c r="H695" s="31"/>
    </row>
    <row r="696" spans="6:8" ht="12.75" customHeight="1" x14ac:dyDescent="0.2">
      <c r="F696" s="31"/>
      <c r="G696" s="31"/>
      <c r="H696" s="31"/>
    </row>
    <row r="697" spans="6:8" ht="12.75" customHeight="1" x14ac:dyDescent="0.2">
      <c r="F697" s="31"/>
      <c r="G697" s="31"/>
      <c r="H697" s="31"/>
    </row>
    <row r="698" spans="6:8" ht="12.75" customHeight="1" x14ac:dyDescent="0.2">
      <c r="F698" s="31"/>
      <c r="G698" s="31"/>
      <c r="H698" s="31"/>
    </row>
    <row r="699" spans="6:8" ht="12.75" customHeight="1" x14ac:dyDescent="0.2">
      <c r="F699" s="31"/>
      <c r="G699" s="31"/>
      <c r="H699" s="31"/>
    </row>
    <row r="700" spans="6:8" ht="12.75" customHeight="1" x14ac:dyDescent="0.2">
      <c r="F700" s="31"/>
      <c r="G700" s="31"/>
      <c r="H700" s="31"/>
    </row>
    <row r="701" spans="6:8" ht="12.75" customHeight="1" x14ac:dyDescent="0.2">
      <c r="F701" s="31"/>
      <c r="G701" s="31"/>
      <c r="H701" s="31"/>
    </row>
    <row r="702" spans="6:8" ht="12.75" customHeight="1" x14ac:dyDescent="0.2">
      <c r="F702" s="31"/>
      <c r="G702" s="31"/>
      <c r="H702" s="31"/>
    </row>
    <row r="703" spans="6:8" ht="12.75" customHeight="1" x14ac:dyDescent="0.2">
      <c r="F703" s="31"/>
      <c r="G703" s="31"/>
      <c r="H703" s="31"/>
    </row>
    <row r="704" spans="6:8" ht="12.75" customHeight="1" x14ac:dyDescent="0.2">
      <c r="F704" s="31"/>
      <c r="G704" s="31"/>
      <c r="H704" s="31"/>
    </row>
    <row r="705" spans="6:8" ht="12.75" customHeight="1" x14ac:dyDescent="0.2">
      <c r="F705" s="31"/>
      <c r="G705" s="31"/>
      <c r="H705" s="31"/>
    </row>
    <row r="706" spans="6:8" ht="12.75" customHeight="1" x14ac:dyDescent="0.2">
      <c r="F706" s="31"/>
      <c r="G706" s="31"/>
      <c r="H706" s="31"/>
    </row>
    <row r="707" spans="6:8" ht="12.75" customHeight="1" x14ac:dyDescent="0.2">
      <c r="F707" s="31"/>
      <c r="G707" s="31"/>
      <c r="H707" s="31"/>
    </row>
    <row r="708" spans="6:8" ht="12.75" customHeight="1" x14ac:dyDescent="0.2">
      <c r="F708" s="31"/>
      <c r="G708" s="31"/>
      <c r="H708" s="31"/>
    </row>
    <row r="709" spans="6:8" ht="12.75" customHeight="1" x14ac:dyDescent="0.2">
      <c r="F709" s="31"/>
      <c r="G709" s="31"/>
      <c r="H709" s="31"/>
    </row>
    <row r="710" spans="6:8" ht="12.75" customHeight="1" x14ac:dyDescent="0.2">
      <c r="F710" s="31"/>
      <c r="G710" s="31"/>
      <c r="H710" s="31"/>
    </row>
    <row r="711" spans="6:8" ht="12.75" customHeight="1" x14ac:dyDescent="0.2">
      <c r="F711" s="31"/>
      <c r="G711" s="31"/>
      <c r="H711" s="31"/>
    </row>
    <row r="712" spans="6:8" ht="12.75" customHeight="1" x14ac:dyDescent="0.2">
      <c r="F712" s="31"/>
      <c r="G712" s="31"/>
      <c r="H712" s="31"/>
    </row>
    <row r="713" spans="6:8" ht="12.75" customHeight="1" x14ac:dyDescent="0.2">
      <c r="F713" s="31"/>
      <c r="G713" s="31"/>
      <c r="H713" s="31"/>
    </row>
    <row r="714" spans="6:8" ht="12.75" customHeight="1" x14ac:dyDescent="0.2">
      <c r="F714" s="31"/>
      <c r="G714" s="31"/>
      <c r="H714" s="31"/>
    </row>
    <row r="715" spans="6:8" ht="12.75" customHeight="1" x14ac:dyDescent="0.2">
      <c r="F715" s="31"/>
      <c r="G715" s="31"/>
      <c r="H715" s="31"/>
    </row>
    <row r="716" spans="6:8" ht="12.75" customHeight="1" x14ac:dyDescent="0.2">
      <c r="F716" s="31"/>
      <c r="G716" s="31"/>
      <c r="H716" s="31"/>
    </row>
    <row r="717" spans="6:8" ht="12.75" customHeight="1" x14ac:dyDescent="0.2">
      <c r="F717" s="31"/>
      <c r="G717" s="31"/>
      <c r="H717" s="31"/>
    </row>
    <row r="718" spans="6:8" ht="12.75" customHeight="1" x14ac:dyDescent="0.2">
      <c r="F718" s="31"/>
      <c r="G718" s="31"/>
      <c r="H718" s="31"/>
    </row>
    <row r="719" spans="6:8" ht="12.75" customHeight="1" x14ac:dyDescent="0.2">
      <c r="F719" s="31"/>
      <c r="G719" s="31"/>
      <c r="H719" s="31"/>
    </row>
    <row r="720" spans="6:8" ht="12.75" customHeight="1" x14ac:dyDescent="0.2">
      <c r="F720" s="31"/>
      <c r="G720" s="31"/>
      <c r="H720" s="31"/>
    </row>
    <row r="721" spans="6:8" ht="12.75" customHeight="1" x14ac:dyDescent="0.2">
      <c r="F721" s="31"/>
      <c r="G721" s="31"/>
      <c r="H721" s="31"/>
    </row>
    <row r="722" spans="6:8" ht="12.75" customHeight="1" x14ac:dyDescent="0.2">
      <c r="F722" s="31"/>
      <c r="G722" s="31"/>
      <c r="H722" s="31"/>
    </row>
    <row r="723" spans="6:8" ht="12.75" customHeight="1" x14ac:dyDescent="0.2">
      <c r="F723" s="31"/>
      <c r="G723" s="31"/>
      <c r="H723" s="31"/>
    </row>
    <row r="724" spans="6:8" ht="12.75" customHeight="1" x14ac:dyDescent="0.2">
      <c r="F724" s="31"/>
      <c r="G724" s="31"/>
      <c r="H724" s="31"/>
    </row>
    <row r="725" spans="6:8" ht="12.75" customHeight="1" x14ac:dyDescent="0.2">
      <c r="F725" s="31"/>
      <c r="G725" s="31"/>
      <c r="H725" s="31"/>
    </row>
    <row r="726" spans="6:8" ht="12.75" customHeight="1" x14ac:dyDescent="0.2">
      <c r="F726" s="31"/>
      <c r="G726" s="31"/>
      <c r="H726" s="31"/>
    </row>
    <row r="727" spans="6:8" ht="12.75" customHeight="1" x14ac:dyDescent="0.2">
      <c r="F727" s="31"/>
      <c r="G727" s="31"/>
      <c r="H727" s="31"/>
    </row>
    <row r="728" spans="6:8" ht="12.75" customHeight="1" x14ac:dyDescent="0.2">
      <c r="F728" s="31"/>
      <c r="G728" s="31"/>
      <c r="H728" s="31"/>
    </row>
    <row r="729" spans="6:8" ht="12.75" customHeight="1" x14ac:dyDescent="0.2">
      <c r="F729" s="31"/>
      <c r="G729" s="31"/>
      <c r="H729" s="31"/>
    </row>
    <row r="730" spans="6:8" ht="12.75" customHeight="1" x14ac:dyDescent="0.2">
      <c r="F730" s="31"/>
      <c r="G730" s="31"/>
      <c r="H730" s="31"/>
    </row>
    <row r="731" spans="6:8" ht="12.75" customHeight="1" x14ac:dyDescent="0.2">
      <c r="F731" s="31"/>
      <c r="G731" s="31"/>
      <c r="H731" s="31"/>
    </row>
    <row r="732" spans="6:8" ht="12.75" customHeight="1" x14ac:dyDescent="0.2">
      <c r="F732" s="31"/>
      <c r="G732" s="31"/>
      <c r="H732" s="31"/>
    </row>
    <row r="733" spans="6:8" ht="12.75" customHeight="1" x14ac:dyDescent="0.2">
      <c r="F733" s="31"/>
      <c r="G733" s="31"/>
      <c r="H733" s="31"/>
    </row>
    <row r="734" spans="6:8" ht="12.75" customHeight="1" x14ac:dyDescent="0.2">
      <c r="F734" s="31"/>
      <c r="G734" s="31"/>
      <c r="H734" s="31"/>
    </row>
    <row r="735" spans="6:8" ht="12.75" customHeight="1" x14ac:dyDescent="0.2">
      <c r="F735" s="31"/>
      <c r="G735" s="31"/>
      <c r="H735" s="31"/>
    </row>
    <row r="736" spans="6:8" ht="12.75" customHeight="1" x14ac:dyDescent="0.2">
      <c r="F736" s="31"/>
      <c r="G736" s="31"/>
      <c r="H736" s="31"/>
    </row>
    <row r="737" spans="6:8" ht="12.75" customHeight="1" x14ac:dyDescent="0.2">
      <c r="F737" s="31"/>
      <c r="G737" s="31"/>
      <c r="H737" s="31"/>
    </row>
    <row r="738" spans="6:8" ht="12.75" customHeight="1" x14ac:dyDescent="0.2">
      <c r="F738" s="31"/>
      <c r="G738" s="31"/>
      <c r="H738" s="31"/>
    </row>
    <row r="739" spans="6:8" ht="12.75" customHeight="1" x14ac:dyDescent="0.2">
      <c r="F739" s="31"/>
      <c r="G739" s="31"/>
      <c r="H739" s="31"/>
    </row>
    <row r="740" spans="6:8" ht="12.75" customHeight="1" x14ac:dyDescent="0.2">
      <c r="F740" s="31"/>
      <c r="G740" s="31"/>
      <c r="H740" s="31"/>
    </row>
    <row r="741" spans="6:8" ht="12.75" customHeight="1" x14ac:dyDescent="0.2">
      <c r="F741" s="31"/>
      <c r="G741" s="31"/>
      <c r="H741" s="31"/>
    </row>
    <row r="742" spans="6:8" ht="12.75" customHeight="1" x14ac:dyDescent="0.2">
      <c r="F742" s="31"/>
      <c r="G742" s="31"/>
      <c r="H742" s="31"/>
    </row>
    <row r="743" spans="6:8" ht="12.75" customHeight="1" x14ac:dyDescent="0.2">
      <c r="F743" s="31"/>
      <c r="G743" s="31"/>
      <c r="H743" s="31"/>
    </row>
    <row r="744" spans="6:8" ht="12.75" customHeight="1" x14ac:dyDescent="0.2">
      <c r="F744" s="31"/>
      <c r="G744" s="31"/>
      <c r="H744" s="31"/>
    </row>
    <row r="745" spans="6:8" ht="12.75" customHeight="1" x14ac:dyDescent="0.2">
      <c r="F745" s="31"/>
      <c r="G745" s="31"/>
      <c r="H745" s="31"/>
    </row>
    <row r="746" spans="6:8" ht="12.75" customHeight="1" x14ac:dyDescent="0.2">
      <c r="F746" s="31"/>
      <c r="G746" s="31"/>
      <c r="H746" s="31"/>
    </row>
    <row r="747" spans="6:8" ht="12.75" customHeight="1" x14ac:dyDescent="0.2">
      <c r="F747" s="31"/>
      <c r="G747" s="31"/>
      <c r="H747" s="31"/>
    </row>
    <row r="748" spans="6:8" ht="12.75" customHeight="1" x14ac:dyDescent="0.2">
      <c r="F748" s="31"/>
      <c r="G748" s="31"/>
      <c r="H748" s="31"/>
    </row>
    <row r="749" spans="6:8" ht="12.75" customHeight="1" x14ac:dyDescent="0.2">
      <c r="F749" s="31"/>
      <c r="G749" s="31"/>
      <c r="H749" s="31"/>
    </row>
    <row r="750" spans="6:8" ht="12.75" customHeight="1" x14ac:dyDescent="0.2">
      <c r="F750" s="31"/>
      <c r="G750" s="31"/>
      <c r="H750" s="31"/>
    </row>
    <row r="751" spans="6:8" ht="12.75" customHeight="1" x14ac:dyDescent="0.2">
      <c r="F751" s="31"/>
      <c r="G751" s="31"/>
      <c r="H751" s="31"/>
    </row>
    <row r="752" spans="6:8" ht="12.75" customHeight="1" x14ac:dyDescent="0.2">
      <c r="F752" s="31"/>
      <c r="G752" s="31"/>
      <c r="H752" s="31"/>
    </row>
    <row r="753" spans="6:8" ht="12.75" customHeight="1" x14ac:dyDescent="0.2">
      <c r="F753" s="31"/>
      <c r="G753" s="31"/>
      <c r="H753" s="31"/>
    </row>
    <row r="754" spans="6:8" ht="12.75" customHeight="1" x14ac:dyDescent="0.2">
      <c r="F754" s="31"/>
      <c r="G754" s="31"/>
      <c r="H754" s="31"/>
    </row>
    <row r="755" spans="6:8" ht="12.75" customHeight="1" x14ac:dyDescent="0.2">
      <c r="F755" s="31"/>
      <c r="G755" s="31"/>
      <c r="H755" s="31"/>
    </row>
    <row r="756" spans="6:8" ht="12.75" customHeight="1" x14ac:dyDescent="0.2">
      <c r="F756" s="31"/>
      <c r="G756" s="31"/>
      <c r="H756" s="31"/>
    </row>
    <row r="757" spans="6:8" ht="12.75" customHeight="1" x14ac:dyDescent="0.2">
      <c r="F757" s="31"/>
      <c r="G757" s="31"/>
      <c r="H757" s="31"/>
    </row>
    <row r="758" spans="6:8" ht="12.75" customHeight="1" x14ac:dyDescent="0.2">
      <c r="F758" s="31"/>
      <c r="G758" s="31"/>
      <c r="H758" s="31"/>
    </row>
    <row r="759" spans="6:8" ht="12.75" customHeight="1" x14ac:dyDescent="0.2">
      <c r="F759" s="31"/>
      <c r="G759" s="31"/>
      <c r="H759" s="31"/>
    </row>
    <row r="760" spans="6:8" ht="12.75" customHeight="1" x14ac:dyDescent="0.2">
      <c r="F760" s="31"/>
      <c r="G760" s="31"/>
      <c r="H760" s="31"/>
    </row>
    <row r="761" spans="6:8" ht="12.75" customHeight="1" x14ac:dyDescent="0.2">
      <c r="F761" s="31"/>
      <c r="G761" s="31"/>
      <c r="H761" s="31"/>
    </row>
    <row r="762" spans="6:8" ht="12.75" customHeight="1" x14ac:dyDescent="0.2">
      <c r="F762" s="31"/>
      <c r="G762" s="31"/>
      <c r="H762" s="31"/>
    </row>
    <row r="763" spans="6:8" ht="12.75" customHeight="1" x14ac:dyDescent="0.2">
      <c r="F763" s="31"/>
      <c r="G763" s="31"/>
      <c r="H763" s="31"/>
    </row>
    <row r="764" spans="6:8" ht="12.75" customHeight="1" x14ac:dyDescent="0.2">
      <c r="F764" s="31"/>
      <c r="G764" s="31"/>
      <c r="H764" s="31"/>
    </row>
    <row r="765" spans="6:8" ht="12.75" customHeight="1" x14ac:dyDescent="0.2">
      <c r="F765" s="31"/>
      <c r="G765" s="31"/>
      <c r="H765" s="31"/>
    </row>
    <row r="766" spans="6:8" ht="12.75" customHeight="1" x14ac:dyDescent="0.2">
      <c r="F766" s="31"/>
      <c r="G766" s="31"/>
      <c r="H766" s="31"/>
    </row>
    <row r="767" spans="6:8" ht="12.75" customHeight="1" x14ac:dyDescent="0.2">
      <c r="F767" s="31"/>
      <c r="G767" s="31"/>
      <c r="H767" s="31"/>
    </row>
    <row r="768" spans="6:8" ht="12.75" customHeight="1" x14ac:dyDescent="0.2">
      <c r="F768" s="31"/>
      <c r="G768" s="31"/>
      <c r="H768" s="31"/>
    </row>
    <row r="769" spans="6:8" ht="12.75" customHeight="1" x14ac:dyDescent="0.2">
      <c r="F769" s="31"/>
      <c r="G769" s="31"/>
      <c r="H769" s="31"/>
    </row>
    <row r="770" spans="6:8" ht="12.75" customHeight="1" x14ac:dyDescent="0.2">
      <c r="F770" s="31"/>
      <c r="G770" s="31"/>
      <c r="H770" s="31"/>
    </row>
    <row r="771" spans="6:8" ht="12.75" customHeight="1" x14ac:dyDescent="0.2">
      <c r="F771" s="31"/>
      <c r="G771" s="31"/>
      <c r="H771" s="31"/>
    </row>
    <row r="772" spans="6:8" ht="12.75" customHeight="1" x14ac:dyDescent="0.2">
      <c r="F772" s="31"/>
      <c r="G772" s="31"/>
      <c r="H772" s="31"/>
    </row>
    <row r="773" spans="6:8" ht="12.75" customHeight="1" x14ac:dyDescent="0.2">
      <c r="F773" s="31"/>
      <c r="G773" s="31"/>
      <c r="H773" s="31"/>
    </row>
    <row r="774" spans="6:8" ht="12.75" customHeight="1" x14ac:dyDescent="0.2">
      <c r="F774" s="31"/>
      <c r="G774" s="31"/>
      <c r="H774" s="31"/>
    </row>
    <row r="775" spans="6:8" ht="12.75" customHeight="1" x14ac:dyDescent="0.2">
      <c r="F775" s="31"/>
      <c r="G775" s="31"/>
      <c r="H775" s="31"/>
    </row>
    <row r="776" spans="6:8" ht="12.75" customHeight="1" x14ac:dyDescent="0.2">
      <c r="F776" s="31"/>
      <c r="G776" s="31"/>
      <c r="H776" s="31"/>
    </row>
    <row r="777" spans="6:8" ht="12.75" customHeight="1" x14ac:dyDescent="0.2">
      <c r="F777" s="31"/>
      <c r="G777" s="31"/>
      <c r="H777" s="31"/>
    </row>
    <row r="778" spans="6:8" ht="12.75" customHeight="1" x14ac:dyDescent="0.2">
      <c r="F778" s="31"/>
      <c r="G778" s="31"/>
      <c r="H778" s="31"/>
    </row>
    <row r="779" spans="6:8" ht="12.75" customHeight="1" x14ac:dyDescent="0.2">
      <c r="F779" s="31"/>
      <c r="G779" s="31"/>
      <c r="H779" s="31"/>
    </row>
    <row r="780" spans="6:8" ht="12.75" customHeight="1" x14ac:dyDescent="0.2">
      <c r="F780" s="31"/>
      <c r="G780" s="31"/>
      <c r="H780" s="31"/>
    </row>
    <row r="781" spans="6:8" ht="12.75" customHeight="1" x14ac:dyDescent="0.2">
      <c r="F781" s="31"/>
      <c r="G781" s="31"/>
      <c r="H781" s="31"/>
    </row>
    <row r="782" spans="6:8" ht="12.75" customHeight="1" x14ac:dyDescent="0.2">
      <c r="F782" s="31"/>
      <c r="G782" s="31"/>
      <c r="H782" s="31"/>
    </row>
    <row r="783" spans="6:8" ht="12.75" customHeight="1" x14ac:dyDescent="0.2">
      <c r="F783" s="31"/>
      <c r="G783" s="31"/>
      <c r="H783" s="31"/>
    </row>
    <row r="784" spans="6:8" ht="12.75" customHeight="1" x14ac:dyDescent="0.2">
      <c r="F784" s="31"/>
      <c r="G784" s="31"/>
      <c r="H784" s="31"/>
    </row>
    <row r="785" spans="6:8" ht="12.75" customHeight="1" x14ac:dyDescent="0.2">
      <c r="F785" s="31"/>
      <c r="G785" s="31"/>
      <c r="H785" s="31"/>
    </row>
    <row r="786" spans="6:8" ht="12.75" customHeight="1" x14ac:dyDescent="0.2">
      <c r="F786" s="31"/>
      <c r="G786" s="31"/>
      <c r="H786" s="31"/>
    </row>
    <row r="787" spans="6:8" ht="12.75" customHeight="1" x14ac:dyDescent="0.2">
      <c r="F787" s="31"/>
      <c r="G787" s="31"/>
      <c r="H787" s="31"/>
    </row>
    <row r="788" spans="6:8" ht="12.75" customHeight="1" x14ac:dyDescent="0.2">
      <c r="F788" s="31"/>
      <c r="G788" s="31"/>
      <c r="H788" s="31"/>
    </row>
    <row r="789" spans="6:8" ht="12.75" customHeight="1" x14ac:dyDescent="0.2">
      <c r="F789" s="31"/>
      <c r="G789" s="31"/>
      <c r="H789" s="31"/>
    </row>
    <row r="790" spans="6:8" ht="12.75" customHeight="1" x14ac:dyDescent="0.2">
      <c r="F790" s="31"/>
      <c r="G790" s="31"/>
      <c r="H790" s="31"/>
    </row>
    <row r="791" spans="6:8" ht="12.75" customHeight="1" x14ac:dyDescent="0.2">
      <c r="F791" s="31"/>
      <c r="G791" s="31"/>
      <c r="H791" s="31"/>
    </row>
    <row r="792" spans="6:8" ht="12.75" customHeight="1" x14ac:dyDescent="0.2">
      <c r="F792" s="31"/>
      <c r="G792" s="31"/>
      <c r="H792" s="31"/>
    </row>
    <row r="793" spans="6:8" ht="12.75" customHeight="1" x14ac:dyDescent="0.2">
      <c r="F793" s="31"/>
      <c r="G793" s="31"/>
      <c r="H793" s="31"/>
    </row>
    <row r="794" spans="6:8" ht="12.75" customHeight="1" x14ac:dyDescent="0.2">
      <c r="F794" s="31"/>
      <c r="G794" s="31"/>
      <c r="H794" s="31"/>
    </row>
    <row r="795" spans="6:8" ht="12.75" customHeight="1" x14ac:dyDescent="0.2">
      <c r="F795" s="31"/>
      <c r="G795" s="31"/>
      <c r="H795" s="31"/>
    </row>
    <row r="796" spans="6:8" ht="12.75" customHeight="1" x14ac:dyDescent="0.2">
      <c r="F796" s="31"/>
      <c r="G796" s="31"/>
      <c r="H796" s="31"/>
    </row>
    <row r="797" spans="6:8" ht="12.75" customHeight="1" x14ac:dyDescent="0.2">
      <c r="F797" s="31"/>
      <c r="G797" s="31"/>
      <c r="H797" s="31"/>
    </row>
    <row r="798" spans="6:8" ht="12.75" customHeight="1" x14ac:dyDescent="0.2">
      <c r="F798" s="31"/>
      <c r="G798" s="31"/>
      <c r="H798" s="31"/>
    </row>
    <row r="799" spans="6:8" ht="12.75" customHeight="1" x14ac:dyDescent="0.2">
      <c r="F799" s="31"/>
      <c r="G799" s="31"/>
      <c r="H799" s="31"/>
    </row>
    <row r="800" spans="6:8" ht="12.75" customHeight="1" x14ac:dyDescent="0.2">
      <c r="F800" s="31"/>
      <c r="G800" s="31"/>
      <c r="H800" s="31"/>
    </row>
    <row r="801" spans="6:8" ht="12.75" customHeight="1" x14ac:dyDescent="0.2">
      <c r="F801" s="31"/>
      <c r="G801" s="31"/>
      <c r="H801" s="31"/>
    </row>
    <row r="802" spans="6:8" ht="12.75" customHeight="1" x14ac:dyDescent="0.2">
      <c r="F802" s="31"/>
      <c r="G802" s="31"/>
      <c r="H802" s="31"/>
    </row>
    <row r="803" spans="6:8" ht="12.75" customHeight="1" x14ac:dyDescent="0.2">
      <c r="F803" s="31"/>
      <c r="G803" s="31"/>
      <c r="H803" s="31"/>
    </row>
    <row r="804" spans="6:8" ht="12.75" customHeight="1" x14ac:dyDescent="0.2">
      <c r="F804" s="31"/>
      <c r="G804" s="31"/>
      <c r="H804" s="31"/>
    </row>
    <row r="805" spans="6:8" ht="12.75" customHeight="1" x14ac:dyDescent="0.2">
      <c r="F805" s="31"/>
      <c r="G805" s="31"/>
      <c r="H805" s="31"/>
    </row>
    <row r="806" spans="6:8" ht="12.75" customHeight="1" x14ac:dyDescent="0.2">
      <c r="F806" s="31"/>
      <c r="G806" s="31"/>
      <c r="H806" s="31"/>
    </row>
    <row r="807" spans="6:8" ht="12.75" customHeight="1" x14ac:dyDescent="0.2">
      <c r="F807" s="31"/>
      <c r="G807" s="31"/>
      <c r="H807" s="31"/>
    </row>
    <row r="808" spans="6:8" ht="12.75" customHeight="1" x14ac:dyDescent="0.2">
      <c r="F808" s="31"/>
      <c r="G808" s="31"/>
      <c r="H808" s="31"/>
    </row>
    <row r="809" spans="6:8" ht="12.75" customHeight="1" x14ac:dyDescent="0.2">
      <c r="F809" s="31"/>
      <c r="G809" s="31"/>
      <c r="H809" s="31"/>
    </row>
    <row r="810" spans="6:8" ht="12.75" customHeight="1" x14ac:dyDescent="0.2">
      <c r="F810" s="31"/>
      <c r="G810" s="31"/>
      <c r="H810" s="31"/>
    </row>
    <row r="811" spans="6:8" ht="12.75" customHeight="1" x14ac:dyDescent="0.2">
      <c r="F811" s="31"/>
      <c r="G811" s="31"/>
      <c r="H811" s="31"/>
    </row>
    <row r="812" spans="6:8" ht="12.75" customHeight="1" x14ac:dyDescent="0.2">
      <c r="F812" s="31"/>
      <c r="G812" s="31"/>
      <c r="H812" s="31"/>
    </row>
    <row r="813" spans="6:8" ht="12.75" customHeight="1" x14ac:dyDescent="0.2">
      <c r="F813" s="31"/>
      <c r="G813" s="31"/>
      <c r="H813" s="31"/>
    </row>
    <row r="814" spans="6:8" ht="12.75" customHeight="1" x14ac:dyDescent="0.2">
      <c r="F814" s="31"/>
      <c r="G814" s="31"/>
      <c r="H814" s="31"/>
    </row>
    <row r="815" spans="6:8" ht="12.75" customHeight="1" x14ac:dyDescent="0.2">
      <c r="F815" s="31"/>
      <c r="G815" s="31"/>
      <c r="H815" s="31"/>
    </row>
    <row r="816" spans="6:8" ht="12.75" customHeight="1" x14ac:dyDescent="0.2">
      <c r="F816" s="31"/>
      <c r="G816" s="31"/>
      <c r="H816" s="31"/>
    </row>
    <row r="817" spans="6:8" ht="12.75" customHeight="1" x14ac:dyDescent="0.2">
      <c r="F817" s="31"/>
      <c r="G817" s="31"/>
      <c r="H817" s="31"/>
    </row>
    <row r="818" spans="6:8" ht="12.75" customHeight="1" x14ac:dyDescent="0.2">
      <c r="F818" s="31"/>
      <c r="G818" s="31"/>
      <c r="H818" s="31"/>
    </row>
    <row r="819" spans="6:8" ht="12.75" customHeight="1" x14ac:dyDescent="0.2">
      <c r="F819" s="31"/>
      <c r="G819" s="31"/>
      <c r="H819" s="31"/>
    </row>
    <row r="820" spans="6:8" ht="12.75" customHeight="1" x14ac:dyDescent="0.2">
      <c r="F820" s="31"/>
      <c r="G820" s="31"/>
      <c r="H820" s="31"/>
    </row>
    <row r="821" spans="6:8" ht="12.75" customHeight="1" x14ac:dyDescent="0.2">
      <c r="F821" s="31"/>
      <c r="G821" s="31"/>
      <c r="H821" s="31"/>
    </row>
    <row r="822" spans="6:8" ht="12.75" customHeight="1" x14ac:dyDescent="0.2">
      <c r="F822" s="31"/>
      <c r="G822" s="31"/>
      <c r="H822" s="31"/>
    </row>
    <row r="823" spans="6:8" ht="12.75" customHeight="1" x14ac:dyDescent="0.2">
      <c r="F823" s="31"/>
      <c r="G823" s="31"/>
      <c r="H823" s="31"/>
    </row>
    <row r="824" spans="6:8" ht="12.75" customHeight="1" x14ac:dyDescent="0.2">
      <c r="F824" s="31"/>
      <c r="G824" s="31"/>
      <c r="H824" s="31"/>
    </row>
    <row r="825" spans="6:8" ht="12.75" customHeight="1" x14ac:dyDescent="0.2">
      <c r="F825" s="31"/>
      <c r="G825" s="31"/>
      <c r="H825" s="31"/>
    </row>
    <row r="826" spans="6:8" ht="12.75" customHeight="1" x14ac:dyDescent="0.2">
      <c r="F826" s="31"/>
      <c r="G826" s="31"/>
      <c r="H826" s="31"/>
    </row>
    <row r="827" spans="6:8" ht="12.75" customHeight="1" x14ac:dyDescent="0.2">
      <c r="F827" s="31"/>
      <c r="G827" s="31"/>
      <c r="H827" s="31"/>
    </row>
    <row r="828" spans="6:8" ht="12.75" customHeight="1" x14ac:dyDescent="0.2">
      <c r="F828" s="31"/>
      <c r="G828" s="31"/>
      <c r="H828" s="31"/>
    </row>
    <row r="829" spans="6:8" ht="12.75" customHeight="1" x14ac:dyDescent="0.2">
      <c r="F829" s="31"/>
      <c r="G829" s="31"/>
      <c r="H829" s="31"/>
    </row>
    <row r="830" spans="6:8" ht="12.75" customHeight="1" x14ac:dyDescent="0.2">
      <c r="F830" s="31"/>
      <c r="G830" s="31"/>
      <c r="H830" s="31"/>
    </row>
    <row r="831" spans="6:8" ht="12.75" customHeight="1" x14ac:dyDescent="0.2">
      <c r="F831" s="31"/>
      <c r="G831" s="31"/>
      <c r="H831" s="31"/>
    </row>
    <row r="832" spans="6:8" ht="12.75" customHeight="1" x14ac:dyDescent="0.2">
      <c r="F832" s="31"/>
      <c r="G832" s="31"/>
      <c r="H832" s="31"/>
    </row>
    <row r="833" spans="6:8" ht="12.75" customHeight="1" x14ac:dyDescent="0.2">
      <c r="F833" s="31"/>
      <c r="G833" s="31"/>
      <c r="H833" s="31"/>
    </row>
    <row r="834" spans="6:8" ht="12.75" customHeight="1" x14ac:dyDescent="0.2">
      <c r="F834" s="31"/>
      <c r="G834" s="31"/>
      <c r="H834" s="31"/>
    </row>
    <row r="835" spans="6:8" ht="12.75" customHeight="1" x14ac:dyDescent="0.2">
      <c r="F835" s="31"/>
      <c r="G835" s="31"/>
      <c r="H835" s="31"/>
    </row>
    <row r="836" spans="6:8" ht="12.75" customHeight="1" x14ac:dyDescent="0.2">
      <c r="F836" s="31"/>
      <c r="G836" s="31"/>
      <c r="H836" s="31"/>
    </row>
    <row r="837" spans="6:8" ht="12.75" customHeight="1" x14ac:dyDescent="0.2">
      <c r="F837" s="31"/>
      <c r="G837" s="31"/>
      <c r="H837" s="31"/>
    </row>
    <row r="838" spans="6:8" ht="12.75" customHeight="1" x14ac:dyDescent="0.2">
      <c r="F838" s="31"/>
      <c r="G838" s="31"/>
      <c r="H838" s="31"/>
    </row>
    <row r="839" spans="6:8" ht="12.75" customHeight="1" x14ac:dyDescent="0.2">
      <c r="F839" s="31"/>
      <c r="G839" s="31"/>
      <c r="H839" s="31"/>
    </row>
    <row r="840" spans="6:8" ht="12.75" customHeight="1" x14ac:dyDescent="0.2">
      <c r="F840" s="31"/>
      <c r="G840" s="31"/>
      <c r="H840" s="31"/>
    </row>
    <row r="841" spans="6:8" ht="12.75" customHeight="1" x14ac:dyDescent="0.2">
      <c r="F841" s="31"/>
      <c r="G841" s="31"/>
      <c r="H841" s="31"/>
    </row>
    <row r="842" spans="6:8" ht="12.75" customHeight="1" x14ac:dyDescent="0.2">
      <c r="F842" s="31"/>
      <c r="G842" s="31"/>
      <c r="H842" s="31"/>
    </row>
    <row r="843" spans="6:8" ht="12.75" customHeight="1" x14ac:dyDescent="0.2">
      <c r="F843" s="31"/>
      <c r="G843" s="31"/>
      <c r="H843" s="31"/>
    </row>
    <row r="844" spans="6:8" ht="12.75" customHeight="1" x14ac:dyDescent="0.2">
      <c r="F844" s="31"/>
      <c r="G844" s="31"/>
      <c r="H844" s="31"/>
    </row>
    <row r="845" spans="6:8" ht="12.75" customHeight="1" x14ac:dyDescent="0.2">
      <c r="F845" s="31"/>
      <c r="G845" s="31"/>
      <c r="H845" s="31"/>
    </row>
    <row r="846" spans="6:8" ht="12.75" customHeight="1" x14ac:dyDescent="0.2">
      <c r="F846" s="31"/>
      <c r="G846" s="31"/>
      <c r="H846" s="31"/>
    </row>
    <row r="847" spans="6:8" ht="12.75" customHeight="1" x14ac:dyDescent="0.2">
      <c r="F847" s="31"/>
      <c r="G847" s="31"/>
      <c r="H847" s="31"/>
    </row>
    <row r="848" spans="6:8" ht="12.75" customHeight="1" x14ac:dyDescent="0.2">
      <c r="F848" s="31"/>
      <c r="G848" s="31"/>
      <c r="H848" s="31"/>
    </row>
    <row r="849" spans="6:8" ht="12.75" customHeight="1" x14ac:dyDescent="0.2">
      <c r="F849" s="31"/>
      <c r="G849" s="31"/>
      <c r="H849" s="31"/>
    </row>
    <row r="850" spans="6:8" ht="12.75" customHeight="1" x14ac:dyDescent="0.2">
      <c r="F850" s="31"/>
      <c r="G850" s="31"/>
      <c r="H850" s="31"/>
    </row>
    <row r="851" spans="6:8" ht="12.75" customHeight="1" x14ac:dyDescent="0.2">
      <c r="F851" s="31"/>
      <c r="G851" s="31"/>
      <c r="H851" s="31"/>
    </row>
    <row r="852" spans="6:8" ht="12.75" customHeight="1" x14ac:dyDescent="0.2">
      <c r="F852" s="31"/>
      <c r="G852" s="31"/>
      <c r="H852" s="31"/>
    </row>
    <row r="853" spans="6:8" ht="12.75" customHeight="1" x14ac:dyDescent="0.2">
      <c r="F853" s="31"/>
      <c r="G853" s="31"/>
      <c r="H853" s="31"/>
    </row>
    <row r="854" spans="6:8" ht="12.75" customHeight="1" x14ac:dyDescent="0.2">
      <c r="F854" s="31"/>
      <c r="G854" s="31"/>
      <c r="H854" s="31"/>
    </row>
    <row r="855" spans="6:8" ht="12.75" customHeight="1" x14ac:dyDescent="0.2">
      <c r="F855" s="31"/>
      <c r="G855" s="31"/>
      <c r="H855" s="31"/>
    </row>
    <row r="856" spans="6:8" ht="12.75" customHeight="1" x14ac:dyDescent="0.2">
      <c r="F856" s="31"/>
      <c r="G856" s="31"/>
      <c r="H856" s="31"/>
    </row>
    <row r="857" spans="6:8" ht="12.75" customHeight="1" x14ac:dyDescent="0.2">
      <c r="F857" s="31"/>
      <c r="G857" s="31"/>
      <c r="H857" s="31"/>
    </row>
    <row r="858" spans="6:8" ht="12.75" customHeight="1" x14ac:dyDescent="0.2">
      <c r="F858" s="31"/>
      <c r="G858" s="31"/>
      <c r="H858" s="31"/>
    </row>
    <row r="859" spans="6:8" ht="12.75" customHeight="1" x14ac:dyDescent="0.2">
      <c r="F859" s="31"/>
      <c r="G859" s="31"/>
      <c r="H859" s="31"/>
    </row>
    <row r="860" spans="6:8" ht="12.75" customHeight="1" x14ac:dyDescent="0.2">
      <c r="F860" s="31"/>
      <c r="G860" s="31"/>
      <c r="H860" s="31"/>
    </row>
    <row r="861" spans="6:8" ht="12.75" customHeight="1" x14ac:dyDescent="0.2">
      <c r="F861" s="31"/>
      <c r="G861" s="31"/>
      <c r="H861" s="31"/>
    </row>
    <row r="862" spans="6:8" ht="12.75" customHeight="1" x14ac:dyDescent="0.2">
      <c r="F862" s="31"/>
      <c r="G862" s="31"/>
      <c r="H862" s="31"/>
    </row>
    <row r="863" spans="6:8" ht="12.75" customHeight="1" x14ac:dyDescent="0.2">
      <c r="F863" s="31"/>
      <c r="G863" s="31"/>
      <c r="H863" s="31"/>
    </row>
    <row r="864" spans="6:8" ht="12.75" customHeight="1" x14ac:dyDescent="0.2">
      <c r="F864" s="31"/>
      <c r="G864" s="31"/>
      <c r="H864" s="31"/>
    </row>
    <row r="865" spans="6:8" ht="12.75" customHeight="1" x14ac:dyDescent="0.2">
      <c r="F865" s="31"/>
      <c r="G865" s="31"/>
      <c r="H865" s="31"/>
    </row>
    <row r="866" spans="6:8" ht="12.75" customHeight="1" x14ac:dyDescent="0.2">
      <c r="F866" s="31"/>
      <c r="G866" s="31"/>
      <c r="H866" s="31"/>
    </row>
    <row r="867" spans="6:8" ht="12.75" customHeight="1" x14ac:dyDescent="0.2">
      <c r="F867" s="31"/>
      <c r="G867" s="31"/>
      <c r="H867" s="31"/>
    </row>
    <row r="868" spans="6:8" ht="12.75" customHeight="1" x14ac:dyDescent="0.2">
      <c r="F868" s="31"/>
      <c r="G868" s="31"/>
      <c r="H868" s="31"/>
    </row>
    <row r="869" spans="6:8" ht="12.75" customHeight="1" x14ac:dyDescent="0.2">
      <c r="F869" s="31"/>
      <c r="G869" s="31"/>
      <c r="H869" s="31"/>
    </row>
    <row r="870" spans="6:8" ht="12.75" customHeight="1" x14ac:dyDescent="0.2">
      <c r="F870" s="31"/>
      <c r="G870" s="31"/>
      <c r="H870" s="31"/>
    </row>
    <row r="871" spans="6:8" ht="12.75" customHeight="1" x14ac:dyDescent="0.2">
      <c r="F871" s="31"/>
      <c r="G871" s="31"/>
      <c r="H871" s="31"/>
    </row>
    <row r="872" spans="6:8" ht="12.75" customHeight="1" x14ac:dyDescent="0.2">
      <c r="F872" s="31"/>
      <c r="G872" s="31"/>
      <c r="H872" s="31"/>
    </row>
    <row r="873" spans="6:8" ht="12.75" customHeight="1" x14ac:dyDescent="0.2">
      <c r="F873" s="31"/>
      <c r="G873" s="31"/>
      <c r="H873" s="31"/>
    </row>
    <row r="874" spans="6:8" ht="12.75" customHeight="1" x14ac:dyDescent="0.2">
      <c r="F874" s="31"/>
      <c r="G874" s="31"/>
      <c r="H874" s="31"/>
    </row>
    <row r="875" spans="6:8" ht="12.75" customHeight="1" x14ac:dyDescent="0.2">
      <c r="F875" s="31"/>
      <c r="G875" s="31"/>
      <c r="H875" s="31"/>
    </row>
    <row r="876" spans="6:8" ht="12.75" customHeight="1" x14ac:dyDescent="0.2">
      <c r="F876" s="31"/>
      <c r="G876" s="31"/>
      <c r="H876" s="31"/>
    </row>
    <row r="877" spans="6:8" ht="12.75" customHeight="1" x14ac:dyDescent="0.2">
      <c r="F877" s="31"/>
      <c r="G877" s="31"/>
      <c r="H877" s="31"/>
    </row>
    <row r="878" spans="6:8" ht="12.75" customHeight="1" x14ac:dyDescent="0.2">
      <c r="F878" s="31"/>
      <c r="G878" s="31"/>
      <c r="H878" s="31"/>
    </row>
    <row r="879" spans="6:8" ht="12.75" customHeight="1" x14ac:dyDescent="0.2">
      <c r="F879" s="31"/>
      <c r="G879" s="31"/>
      <c r="H879" s="31"/>
    </row>
    <row r="880" spans="6:8" ht="12.75" customHeight="1" x14ac:dyDescent="0.2">
      <c r="F880" s="31"/>
      <c r="G880" s="31"/>
      <c r="H880" s="31"/>
    </row>
    <row r="881" spans="6:8" ht="12.75" customHeight="1" x14ac:dyDescent="0.2">
      <c r="F881" s="31"/>
      <c r="G881" s="31"/>
      <c r="H881" s="31"/>
    </row>
    <row r="882" spans="6:8" ht="12.75" customHeight="1" x14ac:dyDescent="0.2">
      <c r="F882" s="31"/>
      <c r="G882" s="31"/>
      <c r="H882" s="31"/>
    </row>
    <row r="883" spans="6:8" ht="12.75" customHeight="1" x14ac:dyDescent="0.2">
      <c r="F883" s="31"/>
      <c r="G883" s="31"/>
      <c r="H883" s="31"/>
    </row>
    <row r="884" spans="6:8" ht="12.75" customHeight="1" x14ac:dyDescent="0.2">
      <c r="F884" s="31"/>
      <c r="G884" s="31"/>
      <c r="H884" s="31"/>
    </row>
    <row r="885" spans="6:8" ht="12.75" customHeight="1" x14ac:dyDescent="0.2">
      <c r="F885" s="31"/>
      <c r="G885" s="31"/>
      <c r="H885" s="31"/>
    </row>
    <row r="886" spans="6:8" ht="12.75" customHeight="1" x14ac:dyDescent="0.2">
      <c r="F886" s="31"/>
      <c r="G886" s="31"/>
      <c r="H886" s="31"/>
    </row>
    <row r="887" spans="6:8" ht="12.75" customHeight="1" x14ac:dyDescent="0.2">
      <c r="F887" s="31"/>
      <c r="G887" s="31"/>
      <c r="H887" s="31"/>
    </row>
    <row r="888" spans="6:8" ht="12.75" customHeight="1" x14ac:dyDescent="0.2">
      <c r="F888" s="31"/>
      <c r="G888" s="31"/>
      <c r="H888" s="31"/>
    </row>
    <row r="889" spans="6:8" ht="12.75" customHeight="1" x14ac:dyDescent="0.2">
      <c r="F889" s="31"/>
      <c r="G889" s="31"/>
      <c r="H889" s="31"/>
    </row>
    <row r="890" spans="6:8" ht="12.75" customHeight="1" x14ac:dyDescent="0.2">
      <c r="F890" s="31"/>
      <c r="G890" s="31"/>
      <c r="H890" s="31"/>
    </row>
    <row r="891" spans="6:8" ht="12.75" customHeight="1" x14ac:dyDescent="0.2">
      <c r="F891" s="31"/>
      <c r="G891" s="31"/>
      <c r="H891" s="31"/>
    </row>
    <row r="892" spans="6:8" ht="12.75" customHeight="1" x14ac:dyDescent="0.2">
      <c r="F892" s="31"/>
      <c r="G892" s="31"/>
      <c r="H892" s="31"/>
    </row>
    <row r="893" spans="6:8" ht="12.75" customHeight="1" x14ac:dyDescent="0.2">
      <c r="F893" s="31"/>
      <c r="G893" s="31"/>
      <c r="H893" s="31"/>
    </row>
    <row r="894" spans="6:8" ht="12.75" customHeight="1" x14ac:dyDescent="0.2">
      <c r="F894" s="31"/>
      <c r="G894" s="31"/>
      <c r="H894" s="31"/>
    </row>
    <row r="895" spans="6:8" ht="12.75" customHeight="1" x14ac:dyDescent="0.2">
      <c r="F895" s="31"/>
      <c r="G895" s="31"/>
      <c r="H895" s="31"/>
    </row>
    <row r="896" spans="6:8" ht="12.75" customHeight="1" x14ac:dyDescent="0.2">
      <c r="F896" s="31"/>
      <c r="G896" s="31"/>
      <c r="H896" s="31"/>
    </row>
    <row r="897" spans="6:8" ht="12.75" customHeight="1" x14ac:dyDescent="0.2">
      <c r="F897" s="31"/>
      <c r="G897" s="31"/>
      <c r="H897" s="31"/>
    </row>
    <row r="898" spans="6:8" ht="12.75" customHeight="1" x14ac:dyDescent="0.2">
      <c r="F898" s="31"/>
      <c r="G898" s="31"/>
      <c r="H898" s="31"/>
    </row>
    <row r="899" spans="6:8" ht="12.75" customHeight="1" x14ac:dyDescent="0.2">
      <c r="F899" s="31"/>
      <c r="G899" s="31"/>
      <c r="H899" s="31"/>
    </row>
    <row r="900" spans="6:8" ht="12.75" customHeight="1" x14ac:dyDescent="0.2">
      <c r="F900" s="31"/>
      <c r="G900" s="31"/>
      <c r="H900" s="31"/>
    </row>
    <row r="901" spans="6:8" ht="12.75" customHeight="1" x14ac:dyDescent="0.2">
      <c r="F901" s="31"/>
      <c r="G901" s="31"/>
      <c r="H901" s="31"/>
    </row>
    <row r="902" spans="6:8" ht="12.75" customHeight="1" x14ac:dyDescent="0.2">
      <c r="F902" s="31"/>
      <c r="G902" s="31"/>
      <c r="H902" s="31"/>
    </row>
    <row r="903" spans="6:8" ht="12.75" customHeight="1" x14ac:dyDescent="0.2">
      <c r="F903" s="31"/>
      <c r="G903" s="31"/>
      <c r="H903" s="31"/>
    </row>
    <row r="904" spans="6:8" ht="12.75" customHeight="1" x14ac:dyDescent="0.2">
      <c r="F904" s="31"/>
      <c r="G904" s="31"/>
      <c r="H904" s="31"/>
    </row>
    <row r="905" spans="6:8" ht="12.75" customHeight="1" x14ac:dyDescent="0.2">
      <c r="F905" s="31"/>
      <c r="G905" s="31"/>
      <c r="H905" s="31"/>
    </row>
    <row r="906" spans="6:8" ht="12.75" customHeight="1" x14ac:dyDescent="0.2">
      <c r="F906" s="31"/>
      <c r="G906" s="31"/>
      <c r="H906" s="31"/>
    </row>
    <row r="907" spans="6:8" ht="12.75" customHeight="1" x14ac:dyDescent="0.2">
      <c r="F907" s="31"/>
      <c r="G907" s="31"/>
      <c r="H907" s="31"/>
    </row>
    <row r="908" spans="6:8" ht="12.75" customHeight="1" x14ac:dyDescent="0.2">
      <c r="F908" s="31"/>
      <c r="G908" s="31"/>
      <c r="H908" s="31"/>
    </row>
    <row r="909" spans="6:8" ht="12.75" customHeight="1" x14ac:dyDescent="0.2">
      <c r="F909" s="31"/>
      <c r="G909" s="31"/>
      <c r="H909" s="31"/>
    </row>
    <row r="910" spans="6:8" ht="12.75" customHeight="1" x14ac:dyDescent="0.2">
      <c r="F910" s="31"/>
      <c r="G910" s="31"/>
      <c r="H910" s="31"/>
    </row>
    <row r="911" spans="6:8" ht="12.75" customHeight="1" x14ac:dyDescent="0.2">
      <c r="F911" s="31"/>
      <c r="G911" s="31"/>
      <c r="H911" s="31"/>
    </row>
    <row r="912" spans="6:8" ht="12.75" customHeight="1" x14ac:dyDescent="0.2">
      <c r="F912" s="31"/>
      <c r="G912" s="31"/>
      <c r="H912" s="31"/>
    </row>
    <row r="913" spans="6:8" ht="12.75" customHeight="1" x14ac:dyDescent="0.2">
      <c r="F913" s="31"/>
      <c r="G913" s="31"/>
      <c r="H913" s="31"/>
    </row>
    <row r="914" spans="6:8" ht="12.75" customHeight="1" x14ac:dyDescent="0.2">
      <c r="F914" s="31"/>
      <c r="G914" s="31"/>
      <c r="H914" s="31"/>
    </row>
    <row r="915" spans="6:8" ht="12.75" customHeight="1" x14ac:dyDescent="0.2">
      <c r="F915" s="31"/>
      <c r="G915" s="31"/>
      <c r="H915" s="31"/>
    </row>
    <row r="916" spans="6:8" ht="12.75" customHeight="1" x14ac:dyDescent="0.2">
      <c r="F916" s="31"/>
      <c r="G916" s="31"/>
      <c r="H916" s="31"/>
    </row>
    <row r="917" spans="6:8" ht="12.75" customHeight="1" x14ac:dyDescent="0.2">
      <c r="F917" s="31"/>
      <c r="G917" s="31"/>
      <c r="H917" s="31"/>
    </row>
    <row r="918" spans="6:8" ht="12.75" customHeight="1" x14ac:dyDescent="0.2">
      <c r="F918" s="31"/>
      <c r="G918" s="31"/>
      <c r="H918" s="31"/>
    </row>
    <row r="919" spans="6:8" ht="12.75" customHeight="1" x14ac:dyDescent="0.2">
      <c r="F919" s="31"/>
      <c r="G919" s="31"/>
      <c r="H919" s="31"/>
    </row>
    <row r="920" spans="6:8" ht="12.75" customHeight="1" x14ac:dyDescent="0.2">
      <c r="F920" s="31"/>
      <c r="G920" s="31"/>
      <c r="H920" s="31"/>
    </row>
    <row r="921" spans="6:8" ht="12.75" customHeight="1" x14ac:dyDescent="0.2">
      <c r="F921" s="31"/>
      <c r="G921" s="31"/>
      <c r="H921" s="31"/>
    </row>
    <row r="922" spans="6:8" ht="12.75" customHeight="1" x14ac:dyDescent="0.2">
      <c r="F922" s="31"/>
      <c r="G922" s="31"/>
      <c r="H922" s="31"/>
    </row>
    <row r="923" spans="6:8" ht="12.75" customHeight="1" x14ac:dyDescent="0.2">
      <c r="F923" s="31"/>
      <c r="G923" s="31"/>
      <c r="H923" s="31"/>
    </row>
    <row r="924" spans="6:8" ht="12.75" customHeight="1" x14ac:dyDescent="0.2">
      <c r="F924" s="31"/>
      <c r="G924" s="31"/>
      <c r="H924" s="31"/>
    </row>
    <row r="925" spans="6:8" ht="12.75" customHeight="1" x14ac:dyDescent="0.2">
      <c r="F925" s="31"/>
      <c r="G925" s="31"/>
      <c r="H925" s="31"/>
    </row>
    <row r="926" spans="6:8" ht="12.75" customHeight="1" x14ac:dyDescent="0.2">
      <c r="F926" s="31"/>
      <c r="G926" s="31"/>
      <c r="H926" s="31"/>
    </row>
    <row r="927" spans="6:8" ht="12.75" customHeight="1" x14ac:dyDescent="0.2">
      <c r="F927" s="31"/>
      <c r="G927" s="31"/>
      <c r="H927" s="31"/>
    </row>
    <row r="928" spans="6:8" ht="12.75" customHeight="1" x14ac:dyDescent="0.2">
      <c r="F928" s="31"/>
      <c r="G928" s="31"/>
      <c r="H928" s="31"/>
    </row>
    <row r="929" spans="6:8" ht="12.75" customHeight="1" x14ac:dyDescent="0.2">
      <c r="F929" s="31"/>
      <c r="G929" s="31"/>
      <c r="H929" s="31"/>
    </row>
    <row r="930" spans="6:8" ht="12.75" customHeight="1" x14ac:dyDescent="0.2">
      <c r="F930" s="31"/>
      <c r="G930" s="31"/>
      <c r="H930" s="31"/>
    </row>
    <row r="931" spans="6:8" ht="12.75" customHeight="1" x14ac:dyDescent="0.2">
      <c r="F931" s="31"/>
      <c r="G931" s="31"/>
      <c r="H931" s="31"/>
    </row>
    <row r="932" spans="6:8" ht="12.75" customHeight="1" x14ac:dyDescent="0.2">
      <c r="F932" s="31"/>
      <c r="G932" s="31"/>
      <c r="H932" s="31"/>
    </row>
    <row r="933" spans="6:8" ht="12.75" customHeight="1" x14ac:dyDescent="0.2">
      <c r="F933" s="31"/>
      <c r="G933" s="31"/>
      <c r="H933" s="31"/>
    </row>
    <row r="934" spans="6:8" ht="12.75" customHeight="1" x14ac:dyDescent="0.2">
      <c r="F934" s="31"/>
      <c r="G934" s="31"/>
      <c r="H934" s="31"/>
    </row>
    <row r="935" spans="6:8" ht="12.75" customHeight="1" x14ac:dyDescent="0.2">
      <c r="F935" s="31"/>
      <c r="G935" s="31"/>
      <c r="H935" s="31"/>
    </row>
    <row r="936" spans="6:8" ht="12.75" customHeight="1" x14ac:dyDescent="0.2">
      <c r="F936" s="31"/>
      <c r="G936" s="31"/>
      <c r="H936" s="31"/>
    </row>
    <row r="937" spans="6:8" ht="12.75" customHeight="1" x14ac:dyDescent="0.2">
      <c r="F937" s="31"/>
      <c r="G937" s="31"/>
      <c r="H937" s="31"/>
    </row>
    <row r="938" spans="6:8" ht="12.75" customHeight="1" x14ac:dyDescent="0.2">
      <c r="F938" s="31"/>
      <c r="G938" s="31"/>
      <c r="H938" s="31"/>
    </row>
    <row r="939" spans="6:8" ht="12.75" customHeight="1" x14ac:dyDescent="0.2">
      <c r="F939" s="31"/>
      <c r="G939" s="31"/>
      <c r="H939" s="31"/>
    </row>
    <row r="940" spans="6:8" ht="12.75" customHeight="1" x14ac:dyDescent="0.2">
      <c r="F940" s="31"/>
      <c r="G940" s="31"/>
      <c r="H940" s="31"/>
    </row>
    <row r="941" spans="6:8" ht="12.75" customHeight="1" x14ac:dyDescent="0.2">
      <c r="F941" s="31"/>
      <c r="G941" s="31"/>
      <c r="H941" s="31"/>
    </row>
    <row r="942" spans="6:8" ht="12.75" customHeight="1" x14ac:dyDescent="0.2">
      <c r="F942" s="31"/>
      <c r="G942" s="31"/>
      <c r="H942" s="31"/>
    </row>
    <row r="943" spans="6:8" ht="12.75" customHeight="1" x14ac:dyDescent="0.2">
      <c r="F943" s="31"/>
      <c r="G943" s="31"/>
      <c r="H943" s="31"/>
    </row>
    <row r="944" spans="6:8" ht="12.75" customHeight="1" x14ac:dyDescent="0.2">
      <c r="F944" s="31"/>
      <c r="G944" s="31"/>
      <c r="H944" s="31"/>
    </row>
    <row r="945" spans="6:8" ht="12.75" customHeight="1" x14ac:dyDescent="0.2">
      <c r="F945" s="31"/>
      <c r="G945" s="31"/>
      <c r="H945" s="31"/>
    </row>
    <row r="946" spans="6:8" ht="12.75" customHeight="1" x14ac:dyDescent="0.2">
      <c r="F946" s="31"/>
      <c r="G946" s="31"/>
      <c r="H946" s="31"/>
    </row>
    <row r="947" spans="6:8" ht="12.75" customHeight="1" x14ac:dyDescent="0.2">
      <c r="F947" s="31"/>
      <c r="G947" s="31"/>
      <c r="H947" s="31"/>
    </row>
    <row r="948" spans="6:8" ht="12.75" customHeight="1" x14ac:dyDescent="0.2">
      <c r="F948" s="31"/>
      <c r="G948" s="31"/>
      <c r="H948" s="31"/>
    </row>
    <row r="949" spans="6:8" ht="12.75" customHeight="1" x14ac:dyDescent="0.2">
      <c r="F949" s="31"/>
      <c r="G949" s="31"/>
      <c r="H949" s="31"/>
    </row>
    <row r="950" spans="6:8" ht="12.75" customHeight="1" x14ac:dyDescent="0.2">
      <c r="F950" s="31"/>
      <c r="G950" s="31"/>
      <c r="H950" s="31"/>
    </row>
    <row r="951" spans="6:8" ht="12.75" customHeight="1" x14ac:dyDescent="0.2">
      <c r="F951" s="31"/>
      <c r="G951" s="31"/>
      <c r="H951" s="31"/>
    </row>
    <row r="952" spans="6:8" ht="12.75" customHeight="1" x14ac:dyDescent="0.2">
      <c r="F952" s="31"/>
      <c r="G952" s="31"/>
      <c r="H952" s="31"/>
    </row>
    <row r="953" spans="6:8" ht="12.75" customHeight="1" x14ac:dyDescent="0.2">
      <c r="F953" s="31"/>
      <c r="G953" s="31"/>
      <c r="H953" s="31"/>
    </row>
    <row r="954" spans="6:8" ht="12.75" customHeight="1" x14ac:dyDescent="0.2">
      <c r="F954" s="31"/>
      <c r="G954" s="31"/>
      <c r="H954" s="31"/>
    </row>
    <row r="955" spans="6:8" ht="12.75" customHeight="1" x14ac:dyDescent="0.2">
      <c r="F955" s="31"/>
      <c r="G955" s="31"/>
      <c r="H955" s="31"/>
    </row>
    <row r="956" spans="6:8" ht="12.75" customHeight="1" x14ac:dyDescent="0.2">
      <c r="F956" s="31"/>
      <c r="G956" s="31"/>
      <c r="H956" s="31"/>
    </row>
    <row r="957" spans="6:8" ht="12.75" customHeight="1" x14ac:dyDescent="0.2">
      <c r="F957" s="31"/>
      <c r="G957" s="31"/>
      <c r="H957" s="31"/>
    </row>
    <row r="958" spans="6:8" ht="12.75" customHeight="1" x14ac:dyDescent="0.2">
      <c r="F958" s="31"/>
      <c r="G958" s="31"/>
      <c r="H958" s="31"/>
    </row>
    <row r="959" spans="6:8" ht="12.75" customHeight="1" x14ac:dyDescent="0.2">
      <c r="F959" s="31"/>
      <c r="G959" s="31"/>
      <c r="H959" s="31"/>
    </row>
    <row r="960" spans="6:8" ht="12.75" customHeight="1" x14ac:dyDescent="0.2">
      <c r="F960" s="31"/>
      <c r="G960" s="31"/>
      <c r="H960" s="31"/>
    </row>
    <row r="961" spans="6:8" ht="12.75" customHeight="1" x14ac:dyDescent="0.2">
      <c r="F961" s="31"/>
      <c r="G961" s="31"/>
      <c r="H961" s="31"/>
    </row>
    <row r="962" spans="6:8" ht="12.75" customHeight="1" x14ac:dyDescent="0.2">
      <c r="F962" s="31"/>
      <c r="G962" s="31"/>
      <c r="H962" s="31"/>
    </row>
    <row r="963" spans="6:8" ht="12.75" customHeight="1" x14ac:dyDescent="0.2">
      <c r="F963" s="31"/>
      <c r="G963" s="31"/>
      <c r="H963" s="31"/>
    </row>
    <row r="964" spans="6:8" ht="12.75" customHeight="1" x14ac:dyDescent="0.2">
      <c r="F964" s="31"/>
      <c r="G964" s="31"/>
      <c r="H964" s="31"/>
    </row>
    <row r="965" spans="6:8" ht="12.75" customHeight="1" x14ac:dyDescent="0.2">
      <c r="F965" s="31"/>
      <c r="G965" s="31"/>
      <c r="H965" s="31"/>
    </row>
    <row r="966" spans="6:8" ht="12.75" customHeight="1" x14ac:dyDescent="0.2">
      <c r="F966" s="31"/>
      <c r="G966" s="31"/>
      <c r="H966" s="31"/>
    </row>
    <row r="967" spans="6:8" ht="12.75" customHeight="1" x14ac:dyDescent="0.2">
      <c r="F967" s="31"/>
      <c r="G967" s="31"/>
      <c r="H967" s="31"/>
    </row>
    <row r="968" spans="6:8" ht="12.75" customHeight="1" x14ac:dyDescent="0.2">
      <c r="F968" s="31"/>
      <c r="G968" s="31"/>
      <c r="H968" s="31"/>
    </row>
    <row r="969" spans="6:8" ht="12.75" customHeight="1" x14ac:dyDescent="0.2">
      <c r="F969" s="31"/>
      <c r="G969" s="31"/>
      <c r="H969" s="31"/>
    </row>
    <row r="970" spans="6:8" ht="12.75" customHeight="1" x14ac:dyDescent="0.2">
      <c r="F970" s="31"/>
      <c r="G970" s="31"/>
      <c r="H970" s="31"/>
    </row>
    <row r="971" spans="6:8" ht="12.75" customHeight="1" x14ac:dyDescent="0.2">
      <c r="F971" s="31"/>
      <c r="G971" s="31"/>
      <c r="H971" s="31"/>
    </row>
    <row r="972" spans="6:8" ht="12.75" customHeight="1" x14ac:dyDescent="0.2">
      <c r="F972" s="31"/>
      <c r="G972" s="31"/>
      <c r="H972" s="31"/>
    </row>
    <row r="973" spans="6:8" ht="12.75" customHeight="1" x14ac:dyDescent="0.2">
      <c r="F973" s="31"/>
      <c r="G973" s="31"/>
      <c r="H973" s="31"/>
    </row>
    <row r="974" spans="6:8" ht="12.75" customHeight="1" x14ac:dyDescent="0.2">
      <c r="F974" s="31"/>
      <c r="G974" s="31"/>
      <c r="H974" s="31"/>
    </row>
    <row r="975" spans="6:8" ht="12.75" customHeight="1" x14ac:dyDescent="0.2">
      <c r="F975" s="31"/>
      <c r="G975" s="31"/>
      <c r="H975" s="31"/>
    </row>
    <row r="976" spans="6:8" ht="12.75" customHeight="1" x14ac:dyDescent="0.2">
      <c r="F976" s="31"/>
      <c r="G976" s="31"/>
      <c r="H976" s="31"/>
    </row>
    <row r="977" spans="6:8" ht="12.75" customHeight="1" x14ac:dyDescent="0.2">
      <c r="F977" s="31"/>
      <c r="G977" s="31"/>
      <c r="H977" s="31"/>
    </row>
    <row r="978" spans="6:8" ht="12.75" customHeight="1" x14ac:dyDescent="0.2">
      <c r="F978" s="31"/>
      <c r="G978" s="31"/>
      <c r="H978" s="31"/>
    </row>
    <row r="979" spans="6:8" ht="12.75" customHeight="1" x14ac:dyDescent="0.2">
      <c r="F979" s="31"/>
      <c r="G979" s="31"/>
      <c r="H979" s="31"/>
    </row>
    <row r="980" spans="6:8" ht="12.75" customHeight="1" x14ac:dyDescent="0.2">
      <c r="F980" s="31"/>
      <c r="G980" s="31"/>
      <c r="H980" s="31"/>
    </row>
    <row r="981" spans="6:8" ht="12.75" customHeight="1" x14ac:dyDescent="0.2">
      <c r="F981" s="31"/>
      <c r="G981" s="31"/>
      <c r="H981" s="31"/>
    </row>
    <row r="982" spans="6:8" ht="12.75" customHeight="1" x14ac:dyDescent="0.2">
      <c r="F982" s="31"/>
      <c r="G982" s="31"/>
      <c r="H982" s="31"/>
    </row>
    <row r="983" spans="6:8" ht="12.75" customHeight="1" x14ac:dyDescent="0.2">
      <c r="F983" s="31"/>
      <c r="G983" s="31"/>
      <c r="H983" s="31"/>
    </row>
    <row r="984" spans="6:8" ht="12.75" customHeight="1" x14ac:dyDescent="0.2">
      <c r="F984" s="31"/>
      <c r="G984" s="31"/>
      <c r="H984" s="31"/>
    </row>
    <row r="985" spans="6:8" ht="12.75" customHeight="1" x14ac:dyDescent="0.2">
      <c r="F985" s="31"/>
      <c r="G985" s="31"/>
      <c r="H985" s="31"/>
    </row>
    <row r="986" spans="6:8" ht="12.75" customHeight="1" x14ac:dyDescent="0.2">
      <c r="F986" s="31"/>
      <c r="G986" s="31"/>
      <c r="H986" s="31"/>
    </row>
    <row r="987" spans="6:8" ht="12.75" customHeight="1" x14ac:dyDescent="0.2">
      <c r="F987" s="31"/>
      <c r="G987" s="31"/>
      <c r="H987" s="31"/>
    </row>
    <row r="988" spans="6:8" ht="12.75" customHeight="1" x14ac:dyDescent="0.2">
      <c r="F988" s="31"/>
      <c r="G988" s="31"/>
      <c r="H988" s="31"/>
    </row>
    <row r="989" spans="6:8" ht="12.75" customHeight="1" x14ac:dyDescent="0.2">
      <c r="F989" s="31"/>
      <c r="G989" s="31"/>
      <c r="H989" s="31"/>
    </row>
    <row r="990" spans="6:8" ht="12.75" customHeight="1" x14ac:dyDescent="0.2">
      <c r="F990" s="31"/>
      <c r="G990" s="31"/>
      <c r="H990" s="31"/>
    </row>
    <row r="991" spans="6:8" ht="12.75" customHeight="1" x14ac:dyDescent="0.2">
      <c r="F991" s="31"/>
      <c r="G991" s="31"/>
      <c r="H991" s="31"/>
    </row>
    <row r="992" spans="6:8" ht="12.75" customHeight="1" x14ac:dyDescent="0.2">
      <c r="F992" s="31"/>
      <c r="G992" s="31"/>
      <c r="H992" s="31"/>
    </row>
    <row r="993" spans="6:8" ht="12.75" customHeight="1" x14ac:dyDescent="0.2">
      <c r="F993" s="31"/>
      <c r="G993" s="31"/>
      <c r="H993" s="31"/>
    </row>
    <row r="994" spans="6:8" ht="12.75" customHeight="1" x14ac:dyDescent="0.2">
      <c r="F994" s="31"/>
      <c r="G994" s="31"/>
      <c r="H994" s="31"/>
    </row>
    <row r="995" spans="6:8" ht="12.75" customHeight="1" x14ac:dyDescent="0.2">
      <c r="F995" s="31"/>
      <c r="G995" s="31"/>
      <c r="H995" s="31"/>
    </row>
    <row r="996" spans="6:8" ht="12.75" customHeight="1" x14ac:dyDescent="0.2">
      <c r="F996" s="31"/>
      <c r="G996" s="31"/>
      <c r="H996" s="31"/>
    </row>
    <row r="997" spans="6:8" ht="12.75" customHeight="1" x14ac:dyDescent="0.2">
      <c r="F997" s="31"/>
      <c r="G997" s="31"/>
      <c r="H997" s="31"/>
    </row>
    <row r="998" spans="6:8" ht="12.75" customHeight="1" x14ac:dyDescent="0.2">
      <c r="F998" s="31"/>
      <c r="G998" s="31"/>
      <c r="H998" s="31"/>
    </row>
    <row r="999" spans="6:8" ht="12.75" customHeight="1" x14ac:dyDescent="0.2">
      <c r="F999" s="31"/>
      <c r="G999" s="31"/>
      <c r="H999" s="31"/>
    </row>
    <row r="1000" spans="6:8" ht="12.75" customHeight="1" x14ac:dyDescent="0.2">
      <c r="F1000" s="31"/>
      <c r="G1000" s="31"/>
      <c r="H1000" s="31"/>
    </row>
    <row r="1001" spans="6:8" ht="12.75" customHeight="1" x14ac:dyDescent="0.2">
      <c r="F1001" s="31"/>
      <c r="G1001" s="31"/>
      <c r="H1001" s="31"/>
    </row>
  </sheetData>
  <dataValidations count="1">
    <dataValidation type="list" allowBlank="1" showErrorMessage="1" sqref="F1" xr:uid="{00000000-0002-0000-0800-000001000000}">
      <formula1>Years</formula1>
    </dataValidation>
  </dataValidations>
  <pageMargins left="0.75" right="0.75" top="1" bottom="1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Z999"/>
  <sheetViews>
    <sheetView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L4" sqref="L4"/>
    </sheetView>
  </sheetViews>
  <sheetFormatPr defaultColWidth="12.5703125" defaultRowHeight="15" customHeight="1" x14ac:dyDescent="0.2"/>
  <cols>
    <col min="1" max="1" width="6.140625" customWidth="1"/>
    <col min="2" max="2" width="5" customWidth="1"/>
    <col min="3" max="3" width="9.42578125" customWidth="1"/>
    <col min="4" max="4" width="10.5703125" style="74" customWidth="1"/>
    <col min="5" max="5" width="36.28515625" customWidth="1"/>
    <col min="6" max="6" width="13.42578125" customWidth="1"/>
    <col min="7" max="8" width="14.7109375" customWidth="1"/>
    <col min="9" max="9" width="14.140625" bestFit="1" customWidth="1"/>
    <col min="10" max="10" width="14.42578125" customWidth="1"/>
    <col min="11" max="11" width="11" customWidth="1"/>
    <col min="12" max="12" width="15.140625" customWidth="1"/>
    <col min="13" max="13" width="11.85546875" customWidth="1"/>
    <col min="14" max="14" width="12.28515625" customWidth="1"/>
    <col min="15" max="26" width="8.5703125" customWidth="1"/>
  </cols>
  <sheetData>
    <row r="1" spans="1:26" ht="12.75" customHeight="1" x14ac:dyDescent="0.2">
      <c r="A1" s="43"/>
      <c r="B1" s="43"/>
      <c r="C1" s="43"/>
      <c r="D1" s="70" t="s">
        <v>107</v>
      </c>
      <c r="E1" s="50" t="s">
        <v>118</v>
      </c>
      <c r="F1" s="40"/>
      <c r="G1" s="40" t="s">
        <v>104</v>
      </c>
      <c r="H1" s="41"/>
      <c r="I1" s="40"/>
      <c r="J1" s="40"/>
      <c r="K1" s="49"/>
      <c r="L1" s="49"/>
    </row>
    <row r="2" spans="1:26" ht="12.75" customHeight="1" x14ac:dyDescent="0.2">
      <c r="A2" s="43"/>
      <c r="B2" s="43"/>
      <c r="C2" s="43"/>
      <c r="D2" s="71" t="s">
        <v>119</v>
      </c>
      <c r="E2" s="58" t="s">
        <v>109</v>
      </c>
      <c r="F2" s="44"/>
      <c r="G2" s="40">
        <v>3</v>
      </c>
      <c r="H2" s="41"/>
      <c r="I2" s="40" t="s">
        <v>41</v>
      </c>
      <c r="J2" s="40" t="s">
        <v>712</v>
      </c>
      <c r="K2" s="50" t="s">
        <v>50</v>
      </c>
      <c r="L2" s="50" t="s">
        <v>704</v>
      </c>
    </row>
    <row r="3" spans="1:26" ht="12.75" customHeight="1" x14ac:dyDescent="0.25">
      <c r="A3" s="45">
        <f>COUNTIF(A5:A65524, "&lt;&gt;")</f>
        <v>40</v>
      </c>
      <c r="B3" s="43">
        <f>MAX(B5:B852)</f>
        <v>2023</v>
      </c>
      <c r="C3" s="43"/>
      <c r="D3" s="83" cm="1">
        <f t="array" ref="D3">INDEX(D5:D65523, A3)</f>
        <v>45022</v>
      </c>
      <c r="E3" s="59"/>
      <c r="F3" s="84"/>
      <c r="G3" s="85" t="s">
        <v>40</v>
      </c>
      <c r="H3" s="85" cm="1">
        <f t="array" ref="H3">INDEX(H5:H65523, A3)</f>
        <v>1035</v>
      </c>
      <c r="I3" s="86">
        <v>45138</v>
      </c>
      <c r="J3" s="64">
        <v>5</v>
      </c>
      <c r="K3" s="92">
        <v>35</v>
      </c>
      <c r="L3" s="92">
        <v>2000</v>
      </c>
    </row>
    <row r="4" spans="1:26" ht="12.75" customHeight="1" x14ac:dyDescent="0.2">
      <c r="A4" s="38" t="s">
        <v>42</v>
      </c>
      <c r="B4" s="38" t="s">
        <v>10</v>
      </c>
      <c r="C4" s="38" t="s">
        <v>54</v>
      </c>
      <c r="D4" s="72" t="s">
        <v>43</v>
      </c>
      <c r="E4" s="38" t="s">
        <v>44</v>
      </c>
      <c r="F4" s="42" t="s">
        <v>45</v>
      </c>
      <c r="G4" s="42" t="s">
        <v>46</v>
      </c>
      <c r="H4" s="55" t="s">
        <v>47</v>
      </c>
      <c r="I4" s="38" t="s">
        <v>676</v>
      </c>
      <c r="L4" s="61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</row>
    <row r="5" spans="1:26" ht="12.75" customHeight="1" x14ac:dyDescent="0.2">
      <c r="A5" s="53">
        <v>8</v>
      </c>
      <c r="B5" s="53">
        <v>2021</v>
      </c>
      <c r="C5" s="53" t="str">
        <f t="shared" ref="C5:C43" si="0">IFERROR("Late Fee "&amp;FIND("Late Fee",E5),IFERROR("Internet "&amp;FIND("Internet",E5),IFERROR("Utilities "&amp;FIND("Utilities",E5),IFERROR("Rent: "&amp;FIND("Rent",E5),IFERROR("Priv Tax: "&amp;FIND("Tax",E5),IFERROR("Income: "&amp;FIND("Payment",E5,1),""))))))</f>
        <v>Rent: 1</v>
      </c>
      <c r="D5" s="73" t="s">
        <v>515</v>
      </c>
      <c r="E5" s="53" t="s">
        <v>181</v>
      </c>
      <c r="F5" s="58">
        <v>0</v>
      </c>
      <c r="G5" s="58">
        <v>1000</v>
      </c>
      <c r="H5" s="58">
        <f xml:space="preserve"> G5 - F5</f>
        <v>1000</v>
      </c>
      <c r="I5" s="59">
        <v>3388</v>
      </c>
      <c r="J5" s="59"/>
      <c r="K5" s="59"/>
      <c r="L5" s="59"/>
      <c r="M5" s="59"/>
      <c r="N5" s="59"/>
    </row>
    <row r="6" spans="1:26" ht="12.75" customHeight="1" x14ac:dyDescent="0.25">
      <c r="A6" s="53">
        <v>8</v>
      </c>
      <c r="B6" s="53">
        <v>2021</v>
      </c>
      <c r="C6" s="53" t="str">
        <f t="shared" si="0"/>
        <v/>
      </c>
      <c r="D6" s="73" t="s">
        <v>515</v>
      </c>
      <c r="E6" s="56" t="s">
        <v>48</v>
      </c>
      <c r="F6" s="58">
        <v>0</v>
      </c>
      <c r="G6" s="58">
        <v>2000</v>
      </c>
      <c r="H6" s="58">
        <f t="shared" ref="H6:H43" si="1" xml:space="preserve"> H5 + G6 - F6</f>
        <v>3000</v>
      </c>
      <c r="I6" s="53">
        <v>3389</v>
      </c>
      <c r="J6" s="53"/>
      <c r="K6" s="63"/>
      <c r="L6" s="53"/>
      <c r="M6" s="59"/>
      <c r="N6" s="59"/>
    </row>
    <row r="7" spans="1:26" ht="12.75" customHeight="1" x14ac:dyDescent="0.25">
      <c r="A7" s="53">
        <v>8</v>
      </c>
      <c r="B7" s="53">
        <v>2021</v>
      </c>
      <c r="C7" s="53" t="str">
        <f t="shared" si="0"/>
        <v/>
      </c>
      <c r="D7" s="73" t="s">
        <v>515</v>
      </c>
      <c r="E7" s="56" t="s">
        <v>60</v>
      </c>
      <c r="F7" s="58">
        <v>0</v>
      </c>
      <c r="G7" s="58">
        <v>250</v>
      </c>
      <c r="H7" s="58">
        <f t="shared" si="1"/>
        <v>3250</v>
      </c>
      <c r="I7" s="59">
        <v>3390</v>
      </c>
      <c r="J7" s="59"/>
      <c r="K7" s="59"/>
      <c r="L7" s="53"/>
      <c r="M7" s="59"/>
      <c r="N7" s="59"/>
    </row>
    <row r="8" spans="1:26" ht="12.75" customHeight="1" x14ac:dyDescent="0.2">
      <c r="A8" s="53">
        <v>7</v>
      </c>
      <c r="B8" s="53">
        <v>2021</v>
      </c>
      <c r="C8" s="53" t="str">
        <f t="shared" si="0"/>
        <v>Income: 1</v>
      </c>
      <c r="D8" s="73" t="s">
        <v>516</v>
      </c>
      <c r="E8" s="53" t="s">
        <v>67</v>
      </c>
      <c r="F8" s="58">
        <v>2000</v>
      </c>
      <c r="G8" s="58">
        <v>0</v>
      </c>
      <c r="H8" s="58">
        <f t="shared" si="1"/>
        <v>1250</v>
      </c>
      <c r="I8" s="59">
        <v>3391</v>
      </c>
      <c r="J8" s="59"/>
      <c r="K8" s="63"/>
      <c r="L8" s="61"/>
      <c r="M8" s="64"/>
      <c r="N8" s="64"/>
    </row>
    <row r="9" spans="1:26" ht="12.75" customHeight="1" x14ac:dyDescent="0.2">
      <c r="A9" s="53">
        <v>7</v>
      </c>
      <c r="B9" s="53">
        <v>2021</v>
      </c>
      <c r="C9" s="53" t="str">
        <f t="shared" si="0"/>
        <v>Income: 1</v>
      </c>
      <c r="D9" s="73" t="s">
        <v>517</v>
      </c>
      <c r="E9" s="53" t="s">
        <v>67</v>
      </c>
      <c r="F9" s="58">
        <v>250</v>
      </c>
      <c r="G9" s="58">
        <v>0</v>
      </c>
      <c r="H9" s="58">
        <f t="shared" si="1"/>
        <v>1000</v>
      </c>
      <c r="I9" s="59">
        <v>3392</v>
      </c>
      <c r="J9" s="59"/>
      <c r="K9" s="63"/>
      <c r="L9" s="53"/>
      <c r="M9" s="63"/>
      <c r="N9" s="59"/>
    </row>
    <row r="10" spans="1:26" ht="12.75" customHeight="1" x14ac:dyDescent="0.2">
      <c r="A10" s="53">
        <v>9</v>
      </c>
      <c r="B10" s="53">
        <v>2021</v>
      </c>
      <c r="C10" s="53" t="str">
        <f t="shared" si="0"/>
        <v>Rent: 1</v>
      </c>
      <c r="D10" s="73" t="s">
        <v>418</v>
      </c>
      <c r="E10" s="53" t="s">
        <v>184</v>
      </c>
      <c r="F10" s="58">
        <v>0</v>
      </c>
      <c r="G10" s="58">
        <v>1000</v>
      </c>
      <c r="H10" s="58">
        <f t="shared" si="1"/>
        <v>2000</v>
      </c>
      <c r="I10" s="59">
        <v>3393</v>
      </c>
      <c r="J10" s="59"/>
      <c r="K10" s="63"/>
      <c r="L10" s="53"/>
      <c r="M10" s="63"/>
      <c r="N10" s="58"/>
    </row>
    <row r="11" spans="1:26" ht="12.75" customHeight="1" x14ac:dyDescent="0.2">
      <c r="A11" s="53">
        <v>9</v>
      </c>
      <c r="B11" s="53">
        <v>2021</v>
      </c>
      <c r="C11" s="53" t="str">
        <f t="shared" si="0"/>
        <v>Income: 1</v>
      </c>
      <c r="D11" s="73" t="s">
        <v>418</v>
      </c>
      <c r="E11" s="53" t="s">
        <v>49</v>
      </c>
      <c r="F11" s="58">
        <v>1000</v>
      </c>
      <c r="G11" s="58">
        <v>0</v>
      </c>
      <c r="H11" s="58">
        <f t="shared" si="1"/>
        <v>1000</v>
      </c>
      <c r="I11" s="53">
        <v>3394</v>
      </c>
      <c r="J11" s="53"/>
      <c r="K11" s="63"/>
      <c r="L11" s="53"/>
      <c r="M11" s="59"/>
      <c r="N11" s="59"/>
    </row>
    <row r="12" spans="1:26" ht="12.75" customHeight="1" x14ac:dyDescent="0.2">
      <c r="A12" s="53">
        <v>10</v>
      </c>
      <c r="B12" s="53">
        <v>2021</v>
      </c>
      <c r="C12" s="53" t="str">
        <f t="shared" si="0"/>
        <v>Rent: 1</v>
      </c>
      <c r="D12" s="73" t="s">
        <v>420</v>
      </c>
      <c r="E12" s="53" t="s">
        <v>187</v>
      </c>
      <c r="F12" s="58">
        <v>0</v>
      </c>
      <c r="G12" s="58">
        <v>2000</v>
      </c>
      <c r="H12" s="58">
        <f t="shared" si="1"/>
        <v>3000</v>
      </c>
      <c r="I12" s="53">
        <v>3395</v>
      </c>
      <c r="J12" s="58"/>
      <c r="K12" s="63"/>
      <c r="L12" s="53"/>
      <c r="M12" s="59"/>
      <c r="N12" s="59"/>
    </row>
    <row r="13" spans="1:26" ht="12.75" customHeight="1" x14ac:dyDescent="0.2">
      <c r="A13" s="53">
        <v>9</v>
      </c>
      <c r="B13" s="53">
        <v>2021</v>
      </c>
      <c r="C13" s="53" t="str">
        <f t="shared" si="0"/>
        <v>Income: 1</v>
      </c>
      <c r="D13" s="73" t="s">
        <v>518</v>
      </c>
      <c r="E13" s="53" t="s">
        <v>49</v>
      </c>
      <c r="F13" s="58">
        <v>2000</v>
      </c>
      <c r="G13" s="58">
        <v>0</v>
      </c>
      <c r="H13" s="58">
        <f t="shared" si="1"/>
        <v>1000</v>
      </c>
      <c r="I13" s="53">
        <v>3396</v>
      </c>
      <c r="J13" s="53"/>
      <c r="K13" s="63"/>
      <c r="L13" s="53"/>
      <c r="M13" s="63"/>
      <c r="N13" s="58"/>
    </row>
    <row r="14" spans="1:26" ht="12.75" customHeight="1" x14ac:dyDescent="0.2">
      <c r="A14" s="53">
        <v>11</v>
      </c>
      <c r="B14" s="53">
        <v>2021</v>
      </c>
      <c r="C14" s="53" t="str">
        <f t="shared" si="0"/>
        <v>Rent: 1</v>
      </c>
      <c r="D14" s="73" t="s">
        <v>422</v>
      </c>
      <c r="E14" s="53" t="s">
        <v>190</v>
      </c>
      <c r="F14" s="58">
        <v>0</v>
      </c>
      <c r="G14" s="58">
        <v>2000</v>
      </c>
      <c r="H14" s="58">
        <f t="shared" si="1"/>
        <v>3000</v>
      </c>
      <c r="I14" s="53">
        <v>3397</v>
      </c>
      <c r="J14" s="53"/>
      <c r="K14" s="63"/>
      <c r="L14" s="53"/>
      <c r="M14" s="59"/>
      <c r="N14" s="59"/>
    </row>
    <row r="15" spans="1:26" ht="12.75" customHeight="1" x14ac:dyDescent="0.2">
      <c r="A15" s="53">
        <v>10</v>
      </c>
      <c r="B15" s="53">
        <v>2021</v>
      </c>
      <c r="C15" s="53" t="str">
        <f t="shared" si="0"/>
        <v>Income: 1</v>
      </c>
      <c r="D15" s="73" t="s">
        <v>519</v>
      </c>
      <c r="E15" s="53" t="s">
        <v>49</v>
      </c>
      <c r="F15" s="58">
        <v>2000</v>
      </c>
      <c r="G15" s="58">
        <v>0</v>
      </c>
      <c r="H15" s="58">
        <f t="shared" si="1"/>
        <v>1000</v>
      </c>
      <c r="I15" s="59">
        <v>3398</v>
      </c>
      <c r="J15" s="59"/>
      <c r="K15" s="59"/>
      <c r="L15" s="53"/>
      <c r="M15" s="59"/>
      <c r="N15" s="59"/>
    </row>
    <row r="16" spans="1:26" ht="12.75" customHeight="1" x14ac:dyDescent="0.2">
      <c r="A16" s="53">
        <v>12</v>
      </c>
      <c r="B16" s="53">
        <v>2021</v>
      </c>
      <c r="C16" s="53" t="str">
        <f t="shared" si="0"/>
        <v>Rent: 1</v>
      </c>
      <c r="D16" s="73" t="s">
        <v>424</v>
      </c>
      <c r="E16" s="53" t="s">
        <v>193</v>
      </c>
      <c r="F16" s="58">
        <v>0</v>
      </c>
      <c r="G16" s="58">
        <v>2000</v>
      </c>
      <c r="H16" s="58">
        <f t="shared" si="1"/>
        <v>3000</v>
      </c>
      <c r="I16" s="59">
        <v>3399</v>
      </c>
      <c r="J16" s="59"/>
      <c r="K16" s="59"/>
      <c r="L16" s="53"/>
      <c r="M16" s="63"/>
      <c r="N16" s="58"/>
    </row>
    <row r="17" spans="1:14" ht="12.75" customHeight="1" x14ac:dyDescent="0.2">
      <c r="A17" s="53">
        <v>11</v>
      </c>
      <c r="B17" s="53">
        <v>2021</v>
      </c>
      <c r="C17" s="53" t="str">
        <f t="shared" si="0"/>
        <v>Income: 1</v>
      </c>
      <c r="D17" s="73" t="s">
        <v>520</v>
      </c>
      <c r="E17" s="53" t="s">
        <v>49</v>
      </c>
      <c r="F17" s="58">
        <v>2000</v>
      </c>
      <c r="G17" s="58">
        <v>0</v>
      </c>
      <c r="H17" s="58">
        <f t="shared" si="1"/>
        <v>1000</v>
      </c>
      <c r="I17" s="59">
        <v>3400</v>
      </c>
      <c r="J17" s="59"/>
      <c r="K17" s="59"/>
      <c r="L17" s="53"/>
      <c r="M17" s="63"/>
      <c r="N17" s="58"/>
    </row>
    <row r="18" spans="1:14" ht="12.75" customHeight="1" x14ac:dyDescent="0.2">
      <c r="A18" s="53">
        <v>1</v>
      </c>
      <c r="B18" s="53">
        <v>2022</v>
      </c>
      <c r="C18" s="53" t="str">
        <f t="shared" si="0"/>
        <v>Rent: 1</v>
      </c>
      <c r="D18" s="73" t="s">
        <v>426</v>
      </c>
      <c r="E18" s="53" t="s">
        <v>196</v>
      </c>
      <c r="F18" s="58">
        <v>0</v>
      </c>
      <c r="G18" s="58">
        <v>2000</v>
      </c>
      <c r="H18" s="58">
        <f t="shared" si="1"/>
        <v>3000</v>
      </c>
      <c r="I18" s="59">
        <v>3401</v>
      </c>
      <c r="J18" s="59"/>
      <c r="K18" s="63"/>
      <c r="L18" s="53"/>
      <c r="M18" s="63"/>
      <c r="N18" s="58"/>
    </row>
    <row r="19" spans="1:14" ht="12.75" customHeight="1" x14ac:dyDescent="0.2">
      <c r="A19" s="53">
        <v>12</v>
      </c>
      <c r="B19" s="53">
        <v>2021</v>
      </c>
      <c r="C19" s="53" t="str">
        <f t="shared" si="0"/>
        <v>Income: 1</v>
      </c>
      <c r="D19" s="73" t="s">
        <v>428</v>
      </c>
      <c r="E19" s="53" t="s">
        <v>49</v>
      </c>
      <c r="F19" s="58">
        <v>2000</v>
      </c>
      <c r="G19" s="58">
        <v>0</v>
      </c>
      <c r="H19" s="58">
        <f t="shared" si="1"/>
        <v>1000</v>
      </c>
      <c r="I19" s="59">
        <v>3402</v>
      </c>
      <c r="J19" s="59"/>
      <c r="K19" s="63"/>
      <c r="L19" s="53"/>
      <c r="M19" s="59"/>
      <c r="N19" s="59"/>
    </row>
    <row r="20" spans="1:14" ht="12.75" customHeight="1" x14ac:dyDescent="0.2">
      <c r="A20" s="53">
        <v>2</v>
      </c>
      <c r="B20" s="53">
        <v>2021</v>
      </c>
      <c r="C20" s="53" t="str">
        <f t="shared" si="0"/>
        <v>Rent: 1</v>
      </c>
      <c r="D20" s="73" t="s">
        <v>405</v>
      </c>
      <c r="E20" s="53" t="s">
        <v>163</v>
      </c>
      <c r="F20" s="58">
        <v>0</v>
      </c>
      <c r="G20" s="58">
        <v>2000</v>
      </c>
      <c r="H20" s="58">
        <f t="shared" si="1"/>
        <v>3000</v>
      </c>
      <c r="I20" s="59">
        <v>3403</v>
      </c>
      <c r="J20" s="59"/>
      <c r="K20" s="63"/>
      <c r="L20" s="53"/>
      <c r="M20" s="59"/>
      <c r="N20" s="59"/>
    </row>
    <row r="21" spans="1:14" ht="12.75" customHeight="1" x14ac:dyDescent="0.2">
      <c r="A21" s="53">
        <v>1</v>
      </c>
      <c r="B21" s="53">
        <v>2022</v>
      </c>
      <c r="C21" s="53" t="str">
        <f t="shared" si="0"/>
        <v>Income: 1</v>
      </c>
      <c r="D21" s="73" t="s">
        <v>430</v>
      </c>
      <c r="E21" s="53" t="s">
        <v>49</v>
      </c>
      <c r="F21" s="58">
        <v>2000</v>
      </c>
      <c r="G21" s="58">
        <v>0</v>
      </c>
      <c r="H21" s="58">
        <f t="shared" si="1"/>
        <v>1000</v>
      </c>
      <c r="I21" s="53">
        <v>3404</v>
      </c>
      <c r="J21" s="59"/>
      <c r="K21" s="59"/>
      <c r="L21" s="53"/>
      <c r="M21" s="63"/>
      <c r="N21" s="58"/>
    </row>
    <row r="22" spans="1:14" ht="12.75" customHeight="1" x14ac:dyDescent="0.2">
      <c r="A22" s="53">
        <v>3</v>
      </c>
      <c r="B22" s="53">
        <v>2022</v>
      </c>
      <c r="C22" s="53" t="str">
        <f t="shared" si="0"/>
        <v>Rent: 1</v>
      </c>
      <c r="D22" s="73" t="s">
        <v>431</v>
      </c>
      <c r="E22" s="53" t="s">
        <v>202</v>
      </c>
      <c r="F22" s="58">
        <v>0</v>
      </c>
      <c r="G22" s="58">
        <v>2000</v>
      </c>
      <c r="H22" s="58">
        <f t="shared" si="1"/>
        <v>3000</v>
      </c>
      <c r="I22" s="59">
        <v>3405</v>
      </c>
      <c r="J22" s="59"/>
      <c r="K22" s="59"/>
      <c r="L22" s="53"/>
      <c r="M22" s="59"/>
      <c r="N22" s="59"/>
    </row>
    <row r="23" spans="1:14" ht="12.75" customHeight="1" x14ac:dyDescent="0.2">
      <c r="A23" s="53">
        <v>2</v>
      </c>
      <c r="B23" s="53">
        <v>2022</v>
      </c>
      <c r="C23" s="53" t="str">
        <f t="shared" si="0"/>
        <v>Income: 1</v>
      </c>
      <c r="D23" s="73" t="s">
        <v>432</v>
      </c>
      <c r="E23" s="53" t="s">
        <v>49</v>
      </c>
      <c r="F23" s="58">
        <v>2000</v>
      </c>
      <c r="G23" s="58">
        <v>0</v>
      </c>
      <c r="H23" s="58">
        <f t="shared" si="1"/>
        <v>1000</v>
      </c>
      <c r="I23" s="53">
        <v>3406</v>
      </c>
      <c r="J23" s="53"/>
      <c r="K23" s="59"/>
      <c r="L23" s="53"/>
      <c r="M23" s="59"/>
      <c r="N23" s="59"/>
    </row>
    <row r="24" spans="1:14" ht="12.75" customHeight="1" x14ac:dyDescent="0.2">
      <c r="A24" s="53">
        <v>4</v>
      </c>
      <c r="B24" s="53">
        <v>2022</v>
      </c>
      <c r="C24" s="53" t="str">
        <f t="shared" si="0"/>
        <v>Rent: 1</v>
      </c>
      <c r="D24" s="73" t="s">
        <v>433</v>
      </c>
      <c r="E24" s="53" t="s">
        <v>205</v>
      </c>
      <c r="F24" s="58">
        <v>0</v>
      </c>
      <c r="G24" s="58">
        <v>2000</v>
      </c>
      <c r="H24" s="58">
        <f t="shared" si="1"/>
        <v>3000</v>
      </c>
      <c r="I24" s="53">
        <v>3407</v>
      </c>
      <c r="J24" s="58"/>
      <c r="K24" s="59"/>
      <c r="L24" s="53"/>
      <c r="M24" s="59"/>
      <c r="N24" s="59"/>
    </row>
    <row r="25" spans="1:14" ht="12.75" customHeight="1" x14ac:dyDescent="0.2">
      <c r="A25" s="53">
        <v>3</v>
      </c>
      <c r="B25" s="53">
        <v>2022</v>
      </c>
      <c r="C25" s="53" t="str">
        <f t="shared" si="0"/>
        <v>Income: 1</v>
      </c>
      <c r="D25" s="73" t="s">
        <v>521</v>
      </c>
      <c r="E25" s="53" t="s">
        <v>49</v>
      </c>
      <c r="F25" s="58">
        <v>2000</v>
      </c>
      <c r="G25" s="58">
        <v>0</v>
      </c>
      <c r="H25" s="58">
        <f t="shared" si="1"/>
        <v>1000</v>
      </c>
      <c r="I25" s="53">
        <v>3408</v>
      </c>
      <c r="J25" s="53"/>
      <c r="K25" s="53"/>
      <c r="L25" s="53"/>
      <c r="M25" s="59"/>
      <c r="N25" s="59"/>
    </row>
    <row r="26" spans="1:14" ht="12.75" customHeight="1" x14ac:dyDescent="0.2">
      <c r="A26" s="53">
        <v>5</v>
      </c>
      <c r="B26" s="53">
        <v>2022</v>
      </c>
      <c r="C26" s="53" t="str">
        <f t="shared" si="0"/>
        <v>Rent: 1</v>
      </c>
      <c r="D26" s="73" t="s">
        <v>435</v>
      </c>
      <c r="E26" s="53" t="s">
        <v>208</v>
      </c>
      <c r="F26" s="58">
        <v>0</v>
      </c>
      <c r="G26" s="58">
        <v>2000</v>
      </c>
      <c r="H26" s="58">
        <f t="shared" si="1"/>
        <v>3000</v>
      </c>
      <c r="I26" s="53">
        <v>3409</v>
      </c>
      <c r="J26" s="53"/>
      <c r="K26" s="53"/>
      <c r="L26" s="53"/>
      <c r="M26" s="59"/>
      <c r="N26" s="59"/>
    </row>
    <row r="27" spans="1:14" ht="12.75" customHeight="1" x14ac:dyDescent="0.2">
      <c r="A27" s="53">
        <v>4</v>
      </c>
      <c r="B27" s="53">
        <v>2022</v>
      </c>
      <c r="C27" s="53" t="str">
        <f t="shared" si="0"/>
        <v>Income: 1</v>
      </c>
      <c r="D27" s="73" t="s">
        <v>522</v>
      </c>
      <c r="E27" s="53" t="s">
        <v>49</v>
      </c>
      <c r="F27" s="58">
        <v>2000</v>
      </c>
      <c r="G27" s="58">
        <v>0</v>
      </c>
      <c r="H27" s="58">
        <f t="shared" si="1"/>
        <v>1000</v>
      </c>
      <c r="I27" s="59">
        <v>3410</v>
      </c>
      <c r="J27" s="59"/>
      <c r="K27" s="59"/>
      <c r="L27" s="53"/>
      <c r="M27" s="59"/>
      <c r="N27" s="59"/>
    </row>
    <row r="28" spans="1:14" ht="12.75" customHeight="1" x14ac:dyDescent="0.2">
      <c r="A28" s="53">
        <v>6</v>
      </c>
      <c r="B28" s="53">
        <v>2022</v>
      </c>
      <c r="C28" s="53" t="str">
        <f t="shared" si="0"/>
        <v>Rent: 1</v>
      </c>
      <c r="D28" s="73" t="s">
        <v>437</v>
      </c>
      <c r="E28" s="53" t="s">
        <v>211</v>
      </c>
      <c r="F28" s="58">
        <v>0</v>
      </c>
      <c r="G28" s="58">
        <v>2000</v>
      </c>
      <c r="H28" s="58">
        <f t="shared" si="1"/>
        <v>3000</v>
      </c>
      <c r="I28" s="59">
        <v>3411</v>
      </c>
      <c r="J28" s="59"/>
      <c r="K28" s="59"/>
      <c r="L28" s="53"/>
      <c r="M28" s="59"/>
      <c r="N28" s="59"/>
    </row>
    <row r="29" spans="1:14" ht="12.75" customHeight="1" x14ac:dyDescent="0.2">
      <c r="A29" s="53">
        <v>5</v>
      </c>
      <c r="B29" s="53">
        <v>2022</v>
      </c>
      <c r="C29" s="53" t="str">
        <f t="shared" si="0"/>
        <v>Income: 1</v>
      </c>
      <c r="D29" s="73" t="s">
        <v>438</v>
      </c>
      <c r="E29" s="53" t="s">
        <v>49</v>
      </c>
      <c r="F29" s="58">
        <v>2000</v>
      </c>
      <c r="G29" s="58">
        <v>0</v>
      </c>
      <c r="H29" s="58">
        <f t="shared" si="1"/>
        <v>1000</v>
      </c>
      <c r="I29" s="59">
        <v>3412</v>
      </c>
      <c r="J29" s="59"/>
      <c r="K29" s="59"/>
      <c r="L29" s="53"/>
      <c r="M29" s="59"/>
      <c r="N29" s="59"/>
    </row>
    <row r="30" spans="1:14" ht="12.75" customHeight="1" x14ac:dyDescent="0.2">
      <c r="A30" s="53">
        <v>7</v>
      </c>
      <c r="B30" s="53">
        <v>2022</v>
      </c>
      <c r="C30" s="53" t="str">
        <f t="shared" si="0"/>
        <v>Rent: 1</v>
      </c>
      <c r="D30" s="73" t="s">
        <v>439</v>
      </c>
      <c r="E30" s="53" t="s">
        <v>214</v>
      </c>
      <c r="F30" s="58">
        <v>0</v>
      </c>
      <c r="G30" s="58">
        <v>2000</v>
      </c>
      <c r="H30" s="58">
        <f t="shared" si="1"/>
        <v>3000</v>
      </c>
      <c r="I30" s="59">
        <v>3413</v>
      </c>
      <c r="J30" s="59"/>
      <c r="K30" s="59"/>
      <c r="L30" s="53"/>
      <c r="M30" s="59"/>
      <c r="N30" s="59"/>
    </row>
    <row r="31" spans="1:14" ht="12.75" customHeight="1" x14ac:dyDescent="0.2">
      <c r="A31" s="53">
        <v>6</v>
      </c>
      <c r="B31" s="53">
        <v>2022</v>
      </c>
      <c r="C31" s="53" t="str">
        <f t="shared" si="0"/>
        <v>Income: 1</v>
      </c>
      <c r="D31" s="73" t="s">
        <v>440</v>
      </c>
      <c r="E31" s="53" t="s">
        <v>49</v>
      </c>
      <c r="F31" s="58">
        <v>2000</v>
      </c>
      <c r="G31" s="58">
        <v>0</v>
      </c>
      <c r="H31" s="58">
        <f t="shared" si="1"/>
        <v>1000</v>
      </c>
      <c r="I31" s="59">
        <v>3414</v>
      </c>
      <c r="J31" s="59"/>
      <c r="K31" s="59"/>
      <c r="L31" s="53"/>
      <c r="M31" s="59"/>
      <c r="N31" s="59"/>
    </row>
    <row r="32" spans="1:14" ht="12.75" customHeight="1" x14ac:dyDescent="0.2">
      <c r="A32" s="53">
        <v>8</v>
      </c>
      <c r="B32" s="53">
        <v>2022</v>
      </c>
      <c r="C32" s="53" t="str">
        <f t="shared" si="0"/>
        <v>Rent: 1</v>
      </c>
      <c r="D32" s="73" t="s">
        <v>441</v>
      </c>
      <c r="E32" s="53" t="s">
        <v>217</v>
      </c>
      <c r="F32" s="58">
        <v>0</v>
      </c>
      <c r="G32" s="58">
        <v>2075</v>
      </c>
      <c r="H32" s="58">
        <f t="shared" si="1"/>
        <v>3075</v>
      </c>
      <c r="I32" s="53">
        <v>3415</v>
      </c>
      <c r="J32" s="53"/>
      <c r="K32" s="59"/>
      <c r="L32" s="53"/>
      <c r="M32" s="59"/>
      <c r="N32" s="59"/>
    </row>
    <row r="33" spans="1:14" ht="12.75" customHeight="1" x14ac:dyDescent="0.2">
      <c r="A33" s="53">
        <v>8</v>
      </c>
      <c r="B33" s="53">
        <v>2022</v>
      </c>
      <c r="C33" s="53" t="str">
        <f t="shared" si="0"/>
        <v>Income: 1</v>
      </c>
      <c r="D33" s="73" t="s">
        <v>441</v>
      </c>
      <c r="E33" s="53" t="s">
        <v>49</v>
      </c>
      <c r="F33" s="58">
        <v>2075</v>
      </c>
      <c r="G33" s="58">
        <v>0</v>
      </c>
      <c r="H33" s="58">
        <f t="shared" si="1"/>
        <v>1000</v>
      </c>
      <c r="I33" s="53">
        <v>3416</v>
      </c>
      <c r="J33" s="58"/>
      <c r="K33" s="59"/>
      <c r="L33" s="53"/>
      <c r="M33" s="59"/>
      <c r="N33" s="59"/>
    </row>
    <row r="34" spans="1:14" ht="12.75" customHeight="1" x14ac:dyDescent="0.2">
      <c r="A34" s="53">
        <v>9</v>
      </c>
      <c r="B34" s="53">
        <v>2022</v>
      </c>
      <c r="C34" s="53" t="str">
        <f t="shared" si="0"/>
        <v>Rent: 1</v>
      </c>
      <c r="D34" s="73" t="s">
        <v>442</v>
      </c>
      <c r="E34" s="53" t="s">
        <v>220</v>
      </c>
      <c r="F34" s="58">
        <v>0</v>
      </c>
      <c r="G34" s="58">
        <v>2075</v>
      </c>
      <c r="H34" s="58">
        <f t="shared" si="1"/>
        <v>3075</v>
      </c>
      <c r="I34" s="53">
        <v>3417</v>
      </c>
      <c r="J34" s="53"/>
      <c r="K34" s="53"/>
      <c r="L34" s="53"/>
      <c r="M34" s="59"/>
      <c r="N34" s="59"/>
    </row>
    <row r="35" spans="1:14" ht="12.75" customHeight="1" x14ac:dyDescent="0.2">
      <c r="A35" s="53">
        <v>8</v>
      </c>
      <c r="B35" s="53">
        <v>2022</v>
      </c>
      <c r="C35" s="53" t="str">
        <f t="shared" si="0"/>
        <v>Income: 1</v>
      </c>
      <c r="D35" s="73" t="s">
        <v>523</v>
      </c>
      <c r="E35" s="53" t="s">
        <v>49</v>
      </c>
      <c r="F35" s="58">
        <v>2075</v>
      </c>
      <c r="G35" s="58">
        <v>0</v>
      </c>
      <c r="H35" s="58">
        <f t="shared" si="1"/>
        <v>1000</v>
      </c>
      <c r="I35" s="53">
        <v>3418</v>
      </c>
      <c r="J35" s="53"/>
      <c r="K35" s="53"/>
      <c r="L35" s="53"/>
      <c r="M35" s="59"/>
      <c r="N35" s="59"/>
    </row>
    <row r="36" spans="1:14" ht="12.75" customHeight="1" x14ac:dyDescent="0.2">
      <c r="A36" s="53">
        <v>10</v>
      </c>
      <c r="B36" s="53">
        <v>2022</v>
      </c>
      <c r="C36" s="53" t="str">
        <f t="shared" si="0"/>
        <v>Rent: 1</v>
      </c>
      <c r="D36" s="73" t="s">
        <v>445</v>
      </c>
      <c r="E36" s="53" t="s">
        <v>223</v>
      </c>
      <c r="F36" s="58">
        <v>0</v>
      </c>
      <c r="G36" s="58">
        <v>2075</v>
      </c>
      <c r="H36" s="58">
        <f t="shared" si="1"/>
        <v>3075</v>
      </c>
      <c r="I36" s="59">
        <v>3419</v>
      </c>
      <c r="J36" s="59"/>
      <c r="K36" s="59"/>
      <c r="L36" s="53"/>
      <c r="M36" s="59"/>
      <c r="N36" s="59"/>
    </row>
    <row r="37" spans="1:14" ht="12.75" customHeight="1" x14ac:dyDescent="0.2">
      <c r="A37" s="53">
        <v>9</v>
      </c>
      <c r="B37" s="53">
        <v>2022</v>
      </c>
      <c r="C37" s="53" t="str">
        <f t="shared" si="0"/>
        <v>Income: 1</v>
      </c>
      <c r="D37" s="73" t="s">
        <v>524</v>
      </c>
      <c r="E37" s="53" t="s">
        <v>49</v>
      </c>
      <c r="F37" s="58">
        <v>2075</v>
      </c>
      <c r="G37" s="58"/>
      <c r="H37" s="58">
        <f t="shared" si="1"/>
        <v>1000</v>
      </c>
      <c r="I37" s="59">
        <v>3420</v>
      </c>
      <c r="J37" s="59"/>
      <c r="K37" s="59"/>
      <c r="L37" s="53"/>
      <c r="M37" s="59"/>
      <c r="N37" s="59"/>
    </row>
    <row r="38" spans="1:14" ht="12.75" customHeight="1" x14ac:dyDescent="0.2">
      <c r="A38" s="53">
        <v>11</v>
      </c>
      <c r="B38" s="53">
        <v>2022</v>
      </c>
      <c r="C38" s="53" t="str">
        <f t="shared" si="0"/>
        <v>Rent: 1</v>
      </c>
      <c r="D38" s="73" t="s">
        <v>448</v>
      </c>
      <c r="E38" s="53" t="s">
        <v>226</v>
      </c>
      <c r="F38" s="58">
        <v>0</v>
      </c>
      <c r="G38" s="58">
        <v>2075</v>
      </c>
      <c r="H38" s="58">
        <f t="shared" si="1"/>
        <v>3075</v>
      </c>
      <c r="I38" s="59">
        <v>3421</v>
      </c>
      <c r="J38" s="59"/>
      <c r="K38" s="59"/>
      <c r="L38" s="53"/>
      <c r="M38" s="59"/>
      <c r="N38" s="59"/>
    </row>
    <row r="39" spans="1:14" ht="12.75" customHeight="1" x14ac:dyDescent="0.2">
      <c r="A39" s="53">
        <v>10</v>
      </c>
      <c r="B39" s="53">
        <v>2022</v>
      </c>
      <c r="C39" s="53" t="str">
        <f t="shared" si="0"/>
        <v>Income: 1</v>
      </c>
      <c r="D39" s="73" t="s">
        <v>449</v>
      </c>
      <c r="E39" s="53" t="s">
        <v>49</v>
      </c>
      <c r="F39" s="58">
        <v>2075</v>
      </c>
      <c r="G39" s="58">
        <v>0</v>
      </c>
      <c r="H39" s="58">
        <f t="shared" si="1"/>
        <v>1000</v>
      </c>
      <c r="I39" s="59">
        <v>3422</v>
      </c>
      <c r="J39" s="59"/>
      <c r="K39" s="59"/>
      <c r="L39" s="53"/>
      <c r="M39" s="59"/>
      <c r="N39" s="59"/>
    </row>
    <row r="40" spans="1:14" ht="12.75" customHeight="1" x14ac:dyDescent="0.2">
      <c r="A40" s="53">
        <v>12</v>
      </c>
      <c r="B40" s="53">
        <v>2022</v>
      </c>
      <c r="C40" s="53" t="str">
        <f t="shared" si="0"/>
        <v>Rent: 1</v>
      </c>
      <c r="D40" s="73" t="s">
        <v>450</v>
      </c>
      <c r="E40" s="53" t="s">
        <v>229</v>
      </c>
      <c r="F40" s="58">
        <v>0</v>
      </c>
      <c r="G40" s="58">
        <v>2075</v>
      </c>
      <c r="H40" s="58">
        <f t="shared" si="1"/>
        <v>3075</v>
      </c>
      <c r="I40" s="59">
        <v>3423</v>
      </c>
      <c r="J40" s="59"/>
      <c r="K40" s="59"/>
      <c r="L40" s="53"/>
      <c r="M40" s="59"/>
      <c r="N40" s="59"/>
    </row>
    <row r="41" spans="1:14" ht="12.75" customHeight="1" x14ac:dyDescent="0.2">
      <c r="A41" s="53">
        <v>11</v>
      </c>
      <c r="B41" s="53">
        <v>2022</v>
      </c>
      <c r="C41" s="53" t="str">
        <f t="shared" si="0"/>
        <v>Income: 1</v>
      </c>
      <c r="D41" s="73" t="s">
        <v>525</v>
      </c>
      <c r="E41" s="53" t="s">
        <v>49</v>
      </c>
      <c r="F41" s="58">
        <v>2075</v>
      </c>
      <c r="G41" s="58">
        <v>0</v>
      </c>
      <c r="H41" s="58">
        <f t="shared" si="1"/>
        <v>1000</v>
      </c>
      <c r="I41" s="53">
        <v>3424</v>
      </c>
      <c r="J41" s="53"/>
      <c r="K41" s="59"/>
      <c r="L41" s="53"/>
      <c r="M41" s="59"/>
      <c r="N41" s="59"/>
    </row>
    <row r="42" spans="1:14" ht="12.75" customHeight="1" x14ac:dyDescent="0.2">
      <c r="A42" s="53">
        <v>1</v>
      </c>
      <c r="B42" s="53">
        <v>2023</v>
      </c>
      <c r="C42" s="53" t="str">
        <f t="shared" si="0"/>
        <v>Rent: 1</v>
      </c>
      <c r="D42" s="73" t="s">
        <v>451</v>
      </c>
      <c r="E42" s="53" t="s">
        <v>452</v>
      </c>
      <c r="F42" s="58">
        <v>0</v>
      </c>
      <c r="G42" s="58">
        <v>2075</v>
      </c>
      <c r="H42" s="58">
        <f t="shared" si="1"/>
        <v>3075</v>
      </c>
      <c r="I42" s="53">
        <v>3425</v>
      </c>
      <c r="J42" s="58"/>
      <c r="K42" s="59"/>
      <c r="L42" s="53"/>
      <c r="M42" s="59"/>
      <c r="N42" s="59"/>
    </row>
    <row r="43" spans="1:14" ht="12.75" customHeight="1" x14ac:dyDescent="0.2">
      <c r="A43" s="53">
        <v>12</v>
      </c>
      <c r="B43" s="53">
        <v>2022</v>
      </c>
      <c r="C43" s="53" t="str">
        <f t="shared" si="0"/>
        <v>Income: 1</v>
      </c>
      <c r="D43" s="73" t="s">
        <v>526</v>
      </c>
      <c r="E43" s="53" t="s">
        <v>49</v>
      </c>
      <c r="F43" s="58">
        <v>2075</v>
      </c>
      <c r="G43" s="58">
        <v>0</v>
      </c>
      <c r="H43" s="58">
        <f t="shared" si="1"/>
        <v>1000</v>
      </c>
      <c r="I43" s="53">
        <v>3426</v>
      </c>
      <c r="J43" s="53"/>
      <c r="K43" s="53"/>
      <c r="L43" s="53"/>
      <c r="M43" s="59"/>
      <c r="N43" s="59"/>
    </row>
    <row r="44" spans="1:14" ht="12.75" customHeight="1" x14ac:dyDescent="0.2">
      <c r="A44">
        <v>4</v>
      </c>
      <c r="B44">
        <v>2023</v>
      </c>
      <c r="C44" t="str">
        <f>IFERROR("Late Fee "&amp;FIND("Late Fee",E44),IFERROR("Internet "&amp;FIND("Internet",E44),IFERROR("Utilities "&amp;FIND("Utilities",E44),IFERROR("Rent: "&amp;FIND("Rent",E44),IFERROR("Priv Tax: "&amp;FIND("Tax",E44),IFERROR("Income: "&amp;FIND("Payment",E44,1),""))))))</f>
        <v>Late Fee 1</v>
      </c>
      <c r="D44" s="80">
        <v>45022</v>
      </c>
      <c r="E44" t="s">
        <v>50</v>
      </c>
      <c r="F44" s="69">
        <v>0</v>
      </c>
      <c r="G44" s="69">
        <v>35</v>
      </c>
      <c r="H44" s="69">
        <f xml:space="preserve"> H43 + G44 - F44</f>
        <v>1035</v>
      </c>
      <c r="I44" s="53">
        <v>3774</v>
      </c>
      <c r="J44" s="53"/>
      <c r="K44" s="53"/>
      <c r="L44" s="53"/>
      <c r="M44" s="59"/>
      <c r="N44" s="59"/>
    </row>
    <row r="45" spans="1:14" ht="12.75" customHeight="1" x14ac:dyDescent="0.2">
      <c r="F45" s="69"/>
      <c r="G45" s="69"/>
      <c r="H45" s="69"/>
      <c r="I45" s="59"/>
      <c r="J45" s="59"/>
      <c r="K45" s="59"/>
      <c r="L45" s="53"/>
      <c r="M45" s="59"/>
      <c r="N45" s="59"/>
    </row>
    <row r="46" spans="1:14" ht="12.75" customHeight="1" x14ac:dyDescent="0.2">
      <c r="F46" s="69"/>
      <c r="G46" s="69"/>
      <c r="H46" s="69"/>
      <c r="I46" s="59"/>
      <c r="J46" s="59"/>
      <c r="K46" s="59"/>
      <c r="L46" s="53"/>
      <c r="M46" s="59"/>
      <c r="N46" s="59"/>
    </row>
    <row r="47" spans="1:14" ht="12.75" customHeight="1" x14ac:dyDescent="0.2">
      <c r="A47" s="53"/>
      <c r="B47" s="53"/>
      <c r="C47" s="53"/>
      <c r="D47" s="73"/>
      <c r="E47" s="53"/>
      <c r="F47" s="58"/>
      <c r="G47" s="58"/>
      <c r="H47" s="58"/>
      <c r="I47" s="59"/>
      <c r="J47" s="59"/>
      <c r="K47" s="59"/>
      <c r="L47" s="53"/>
      <c r="M47" s="59"/>
      <c r="N47" s="59"/>
    </row>
    <row r="48" spans="1:14" ht="12.75" customHeight="1" x14ac:dyDescent="0.2">
      <c r="A48" s="53"/>
      <c r="B48" s="53"/>
      <c r="C48" s="53"/>
      <c r="D48" s="73"/>
      <c r="E48" s="53"/>
      <c r="F48" s="58"/>
      <c r="G48" s="58"/>
      <c r="H48" s="58"/>
      <c r="I48" s="59"/>
      <c r="J48" s="59"/>
      <c r="K48" s="59"/>
      <c r="L48" s="53"/>
      <c r="M48" s="59"/>
      <c r="N48" s="59"/>
    </row>
    <row r="49" spans="1:14" ht="12.75" customHeight="1" x14ac:dyDescent="0.2">
      <c r="A49" s="53"/>
      <c r="B49" s="53"/>
      <c r="C49" s="53"/>
      <c r="D49" s="73"/>
      <c r="E49" s="53"/>
      <c r="F49" s="58"/>
      <c r="G49" s="58"/>
      <c r="H49" s="58"/>
      <c r="I49" s="59"/>
      <c r="J49" s="59"/>
      <c r="K49" s="59"/>
      <c r="L49" s="53"/>
      <c r="M49" s="59"/>
      <c r="N49" s="59"/>
    </row>
    <row r="50" spans="1:14" ht="12.75" customHeight="1" x14ac:dyDescent="0.2">
      <c r="A50" s="53"/>
      <c r="B50" s="53"/>
      <c r="C50" s="53"/>
      <c r="D50" s="73"/>
      <c r="E50" s="53"/>
      <c r="F50" s="58"/>
      <c r="G50" s="58"/>
      <c r="H50" s="58"/>
      <c r="I50" s="53"/>
      <c r="J50" s="53"/>
      <c r="K50" s="59"/>
      <c r="L50" s="53"/>
      <c r="M50" s="59"/>
      <c r="N50" s="59"/>
    </row>
    <row r="51" spans="1:14" ht="12.75" customHeight="1" x14ac:dyDescent="0.2">
      <c r="A51" s="53"/>
      <c r="B51" s="53"/>
      <c r="C51" s="53"/>
      <c r="D51" s="73"/>
      <c r="E51" s="53"/>
      <c r="F51" s="58"/>
      <c r="G51" s="58"/>
      <c r="H51" s="58"/>
      <c r="I51" s="53"/>
      <c r="J51" s="58"/>
      <c r="K51" s="59"/>
      <c r="L51" s="53"/>
      <c r="M51" s="59"/>
      <c r="N51" s="59"/>
    </row>
    <row r="52" spans="1:14" ht="12.75" customHeight="1" x14ac:dyDescent="0.2">
      <c r="A52" s="53"/>
      <c r="B52" s="53"/>
      <c r="C52" s="53"/>
      <c r="D52" s="73"/>
      <c r="E52" s="53"/>
      <c r="F52" s="58"/>
      <c r="G52" s="58"/>
      <c r="H52" s="58"/>
      <c r="I52" s="53"/>
      <c r="J52" s="53"/>
      <c r="K52" s="53"/>
      <c r="L52" s="53"/>
      <c r="M52" s="59"/>
      <c r="N52" s="59"/>
    </row>
    <row r="53" spans="1:14" ht="12.75" customHeight="1" x14ac:dyDescent="0.2">
      <c r="A53" s="53"/>
      <c r="B53" s="53"/>
      <c r="C53" s="53"/>
      <c r="D53" s="73"/>
      <c r="E53" s="53"/>
      <c r="F53" s="58"/>
      <c r="G53" s="58"/>
      <c r="H53" s="58"/>
      <c r="I53" s="53"/>
      <c r="J53" s="53"/>
      <c r="K53" s="53"/>
      <c r="L53" s="53"/>
      <c r="M53" s="59"/>
      <c r="N53" s="59"/>
    </row>
    <row r="54" spans="1:14" ht="12.75" customHeight="1" x14ac:dyDescent="0.2">
      <c r="A54" s="53"/>
      <c r="B54" s="53"/>
      <c r="C54" s="53"/>
      <c r="D54" s="73"/>
      <c r="E54" s="53"/>
      <c r="F54" s="58"/>
      <c r="G54" s="58"/>
      <c r="H54" s="58"/>
      <c r="I54" s="59"/>
      <c r="J54" s="59"/>
      <c r="K54" s="59"/>
      <c r="L54" s="53"/>
      <c r="M54" s="59"/>
      <c r="N54" s="59"/>
    </row>
    <row r="55" spans="1:14" ht="12.75" customHeight="1" x14ac:dyDescent="0.2">
      <c r="A55" s="53"/>
      <c r="B55" s="53"/>
      <c r="C55" s="53"/>
      <c r="D55" s="73"/>
      <c r="E55" s="53"/>
      <c r="F55" s="58"/>
      <c r="G55" s="58"/>
      <c r="H55" s="58"/>
      <c r="I55" s="59"/>
      <c r="J55" s="59"/>
      <c r="K55" s="59"/>
      <c r="L55" s="53"/>
      <c r="M55" s="59"/>
      <c r="N55" s="59"/>
    </row>
    <row r="56" spans="1:14" ht="12.75" customHeight="1" x14ac:dyDescent="0.2">
      <c r="A56" s="53"/>
      <c r="B56" s="53"/>
      <c r="C56" s="53"/>
      <c r="D56" s="73"/>
      <c r="E56" s="53"/>
      <c r="F56" s="58"/>
      <c r="G56" s="58"/>
      <c r="H56" s="58"/>
      <c r="I56" s="53"/>
      <c r="J56" s="59"/>
      <c r="K56" s="59"/>
      <c r="L56" s="53"/>
      <c r="M56" s="59"/>
      <c r="N56" s="59"/>
    </row>
    <row r="57" spans="1:14" ht="12.75" customHeight="1" x14ac:dyDescent="0.2">
      <c r="A57" s="53"/>
      <c r="B57" s="53"/>
      <c r="C57" s="53"/>
      <c r="D57" s="73"/>
      <c r="E57" s="53"/>
      <c r="F57" s="58"/>
      <c r="G57" s="58"/>
      <c r="H57" s="58"/>
      <c r="I57" s="53"/>
      <c r="J57" s="63"/>
      <c r="K57" s="53"/>
      <c r="L57" s="53"/>
      <c r="M57" s="59"/>
      <c r="N57" s="59"/>
    </row>
    <row r="58" spans="1:14" ht="12.75" customHeight="1" x14ac:dyDescent="0.2">
      <c r="A58" s="53"/>
      <c r="B58" s="53"/>
      <c r="C58" s="53"/>
      <c r="D58" s="73"/>
      <c r="E58" s="53"/>
      <c r="F58" s="58"/>
      <c r="G58" s="58"/>
      <c r="H58" s="58"/>
      <c r="I58" s="59"/>
      <c r="J58" s="58"/>
      <c r="K58" s="59"/>
      <c r="L58" s="53"/>
      <c r="M58" s="59"/>
      <c r="N58" s="59"/>
    </row>
    <row r="59" spans="1:14" ht="12.75" customHeight="1" x14ac:dyDescent="0.2">
      <c r="A59" s="53"/>
      <c r="B59" s="53"/>
      <c r="C59" s="53"/>
      <c r="D59" s="73"/>
      <c r="E59" s="53"/>
      <c r="F59" s="58"/>
      <c r="G59" s="58"/>
      <c r="H59" s="58"/>
      <c r="I59" s="53"/>
      <c r="J59" s="53"/>
      <c r="K59" s="59"/>
      <c r="L59" s="53"/>
      <c r="M59" s="59"/>
      <c r="N59" s="59"/>
    </row>
    <row r="60" spans="1:14" ht="12.75" customHeight="1" x14ac:dyDescent="0.2">
      <c r="A60" s="53"/>
      <c r="B60" s="53"/>
      <c r="C60" s="53"/>
      <c r="D60" s="73"/>
      <c r="E60" s="53"/>
      <c r="F60" s="58"/>
      <c r="G60" s="58"/>
      <c r="H60" s="58"/>
      <c r="I60" s="53"/>
      <c r="J60" s="58"/>
      <c r="K60" s="59"/>
      <c r="L60" s="53"/>
      <c r="M60" s="59"/>
      <c r="N60" s="59"/>
    </row>
    <row r="61" spans="1:14" ht="12.75" customHeight="1" x14ac:dyDescent="0.2">
      <c r="A61" s="53"/>
      <c r="B61" s="53"/>
      <c r="C61" s="53"/>
      <c r="D61" s="73"/>
      <c r="E61" s="53"/>
      <c r="F61" s="58"/>
      <c r="G61" s="58"/>
      <c r="H61" s="58"/>
      <c r="I61" s="53"/>
      <c r="J61" s="53"/>
      <c r="K61" s="53"/>
      <c r="L61" s="53"/>
      <c r="M61" s="59"/>
      <c r="N61" s="59"/>
    </row>
    <row r="62" spans="1:14" ht="12.75" customHeight="1" x14ac:dyDescent="0.2">
      <c r="A62" s="53"/>
      <c r="B62" s="53"/>
      <c r="C62" s="53"/>
      <c r="D62" s="73"/>
      <c r="E62" s="53"/>
      <c r="F62" s="58"/>
      <c r="G62" s="58"/>
      <c r="H62" s="58"/>
      <c r="I62" s="53"/>
      <c r="J62" s="53"/>
      <c r="K62" s="53"/>
      <c r="L62" s="53"/>
      <c r="M62" s="59"/>
      <c r="N62" s="59"/>
    </row>
    <row r="63" spans="1:14" ht="12.75" customHeight="1" x14ac:dyDescent="0.2">
      <c r="A63" s="53"/>
      <c r="B63" s="53"/>
      <c r="C63" s="53"/>
      <c r="D63" s="73"/>
      <c r="E63" s="53"/>
      <c r="F63" s="58"/>
      <c r="G63" s="58"/>
      <c r="H63" s="58"/>
      <c r="I63" s="53"/>
      <c r="J63" s="53"/>
      <c r="K63" s="53"/>
      <c r="L63" s="53"/>
      <c r="M63" s="59"/>
      <c r="N63" s="59"/>
    </row>
    <row r="64" spans="1:14" ht="12.75" customHeight="1" x14ac:dyDescent="0.2">
      <c r="A64" s="53"/>
      <c r="B64" s="53"/>
      <c r="C64" s="53"/>
      <c r="D64" s="73"/>
      <c r="E64" s="53"/>
      <c r="F64" s="58"/>
      <c r="G64" s="58"/>
      <c r="H64" s="58"/>
      <c r="I64" s="53"/>
      <c r="J64" s="53"/>
      <c r="K64" s="53"/>
      <c r="L64" s="53"/>
      <c r="M64" s="59"/>
      <c r="N64" s="59"/>
    </row>
    <row r="65" spans="1:14" ht="12.75" customHeight="1" x14ac:dyDescent="0.2">
      <c r="A65" s="53"/>
      <c r="B65" s="53"/>
      <c r="C65" s="53"/>
      <c r="D65" s="73"/>
      <c r="E65" s="53"/>
      <c r="F65" s="58"/>
      <c r="G65" s="58"/>
      <c r="H65" s="58"/>
      <c r="I65" s="53"/>
      <c r="J65" s="53"/>
      <c r="K65" s="53"/>
      <c r="L65" s="53"/>
      <c r="M65" s="59"/>
      <c r="N65" s="59"/>
    </row>
    <row r="66" spans="1:14" ht="12.75" customHeight="1" x14ac:dyDescent="0.2">
      <c r="A66" s="53"/>
      <c r="B66" s="53"/>
      <c r="C66" s="53"/>
      <c r="D66" s="73"/>
      <c r="E66" s="53"/>
      <c r="F66" s="58"/>
      <c r="G66" s="58"/>
      <c r="H66" s="58"/>
      <c r="I66" s="53"/>
      <c r="J66" s="63"/>
      <c r="K66" s="53"/>
      <c r="L66" s="53"/>
      <c r="M66" s="59"/>
      <c r="N66" s="59"/>
    </row>
    <row r="67" spans="1:14" ht="12.75" customHeight="1" x14ac:dyDescent="0.2">
      <c r="A67" s="53"/>
      <c r="B67" s="53"/>
      <c r="C67" s="53"/>
      <c r="D67" s="73"/>
      <c r="E67" s="53"/>
      <c r="F67" s="58"/>
      <c r="G67" s="58"/>
      <c r="H67" s="58"/>
      <c r="I67" s="53"/>
      <c r="J67" s="53"/>
      <c r="K67" s="53"/>
      <c r="L67" s="53"/>
      <c r="M67" s="59"/>
      <c r="N67" s="59"/>
    </row>
    <row r="68" spans="1:14" ht="12.75" customHeight="1" x14ac:dyDescent="0.2">
      <c r="A68" s="53"/>
      <c r="B68" s="53"/>
      <c r="C68" s="53"/>
      <c r="D68" s="73"/>
      <c r="E68" s="53"/>
      <c r="F68" s="58"/>
      <c r="G68" s="58"/>
      <c r="H68" s="58"/>
      <c r="I68" s="53"/>
      <c r="J68" s="53"/>
      <c r="K68" s="53"/>
      <c r="L68" s="53"/>
      <c r="M68" s="59"/>
      <c r="N68" s="59"/>
    </row>
    <row r="69" spans="1:14" ht="12.75" customHeight="1" x14ac:dyDescent="0.2">
      <c r="A69" s="53"/>
      <c r="B69" s="53"/>
      <c r="C69" s="53"/>
      <c r="D69" s="73"/>
      <c r="E69" s="53"/>
      <c r="F69" s="58"/>
      <c r="G69" s="58"/>
      <c r="H69" s="58"/>
      <c r="I69" s="53"/>
      <c r="J69" s="58"/>
      <c r="K69" s="53"/>
      <c r="L69" s="53"/>
      <c r="M69" s="59"/>
      <c r="N69" s="59"/>
    </row>
    <row r="70" spans="1:14" ht="12.75" customHeight="1" x14ac:dyDescent="0.2">
      <c r="A70" s="53"/>
      <c r="B70" s="53"/>
      <c r="C70" s="53"/>
      <c r="D70" s="73"/>
      <c r="E70" s="53"/>
      <c r="F70" s="58"/>
      <c r="G70" s="58"/>
      <c r="H70" s="58"/>
      <c r="I70" s="53"/>
      <c r="J70" s="53"/>
      <c r="K70" s="53"/>
      <c r="L70" s="53"/>
      <c r="M70" s="59"/>
      <c r="N70" s="59"/>
    </row>
    <row r="71" spans="1:14" ht="12.75" customHeight="1" x14ac:dyDescent="0.2">
      <c r="A71" s="53"/>
      <c r="B71" s="53"/>
      <c r="C71" s="53"/>
      <c r="D71" s="73"/>
      <c r="E71" s="53"/>
      <c r="F71" s="58"/>
      <c r="G71" s="58"/>
      <c r="H71" s="58"/>
      <c r="I71" s="53"/>
      <c r="J71" s="53"/>
      <c r="K71" s="53"/>
      <c r="L71" s="53"/>
      <c r="M71" s="59"/>
      <c r="N71" s="59"/>
    </row>
    <row r="72" spans="1:14" ht="12.75" customHeight="1" x14ac:dyDescent="0.2">
      <c r="A72" s="53"/>
      <c r="B72" s="53"/>
      <c r="C72" s="53"/>
      <c r="D72" s="73"/>
      <c r="E72" s="53"/>
      <c r="F72" s="58"/>
      <c r="G72" s="58"/>
      <c r="H72" s="58"/>
      <c r="I72" s="53"/>
      <c r="J72" s="53"/>
      <c r="K72" s="53"/>
      <c r="L72" s="53"/>
      <c r="M72" s="59"/>
      <c r="N72" s="59"/>
    </row>
    <row r="73" spans="1:14" ht="12.75" customHeight="1" x14ac:dyDescent="0.2">
      <c r="A73" s="53"/>
      <c r="B73" s="53"/>
      <c r="C73" s="53"/>
      <c r="D73" s="73"/>
      <c r="E73" s="53"/>
      <c r="F73" s="58"/>
      <c r="G73" s="58"/>
      <c r="H73" s="58"/>
      <c r="I73" s="53"/>
      <c r="J73" s="53"/>
      <c r="K73" s="53"/>
      <c r="L73" s="53"/>
      <c r="M73" s="59"/>
      <c r="N73" s="59"/>
    </row>
    <row r="74" spans="1:14" ht="12.75" customHeight="1" x14ac:dyDescent="0.2">
      <c r="A74" s="53"/>
      <c r="B74" s="53"/>
      <c r="C74" s="53"/>
      <c r="D74" s="73"/>
      <c r="E74" s="53"/>
      <c r="F74" s="58"/>
      <c r="G74" s="58"/>
      <c r="H74" s="58"/>
      <c r="I74" s="53"/>
      <c r="J74" s="53"/>
      <c r="K74" s="53"/>
      <c r="L74" s="53"/>
      <c r="M74" s="59"/>
      <c r="N74" s="59"/>
    </row>
    <row r="75" spans="1:14" ht="12.75" customHeight="1" x14ac:dyDescent="0.2">
      <c r="A75" s="53"/>
      <c r="B75" s="53"/>
      <c r="C75" s="53"/>
      <c r="D75" s="73"/>
      <c r="E75" s="53"/>
      <c r="F75" s="58"/>
      <c r="G75" s="58"/>
      <c r="H75" s="58"/>
      <c r="I75" s="53"/>
      <c r="J75" s="63"/>
      <c r="K75" s="53"/>
      <c r="L75" s="53"/>
      <c r="M75" s="59"/>
      <c r="N75" s="59"/>
    </row>
    <row r="76" spans="1:14" ht="12.75" customHeight="1" x14ac:dyDescent="0.2">
      <c r="A76" s="53"/>
      <c r="B76" s="53"/>
      <c r="C76" s="53"/>
      <c r="D76" s="73"/>
      <c r="E76" s="53"/>
      <c r="F76" s="58"/>
      <c r="G76" s="58"/>
      <c r="H76" s="58"/>
      <c r="I76" s="53"/>
      <c r="J76" s="53"/>
      <c r="K76" s="53"/>
      <c r="L76" s="53"/>
      <c r="M76" s="59"/>
      <c r="N76" s="59"/>
    </row>
    <row r="77" spans="1:14" ht="12.75" customHeight="1" x14ac:dyDescent="0.2">
      <c r="A77" s="53"/>
      <c r="B77" s="53"/>
      <c r="C77" s="53"/>
      <c r="D77" s="73"/>
      <c r="E77" s="53"/>
      <c r="F77" s="58"/>
      <c r="G77" s="58"/>
      <c r="H77" s="58"/>
      <c r="I77" s="53"/>
      <c r="J77" s="53"/>
      <c r="K77" s="53"/>
      <c r="L77" s="53"/>
      <c r="M77" s="59"/>
      <c r="N77" s="59"/>
    </row>
    <row r="78" spans="1:14" ht="12.75" customHeight="1" x14ac:dyDescent="0.2">
      <c r="A78" s="53"/>
      <c r="B78" s="53"/>
      <c r="C78" s="53"/>
      <c r="D78" s="73"/>
      <c r="E78" s="53"/>
      <c r="F78" s="58"/>
      <c r="G78" s="58"/>
      <c r="H78" s="58"/>
      <c r="I78" s="53"/>
      <c r="J78" s="58"/>
      <c r="K78" s="53"/>
      <c r="L78" s="53"/>
      <c r="M78" s="59"/>
      <c r="N78" s="59"/>
    </row>
    <row r="79" spans="1:14" ht="12.75" customHeight="1" x14ac:dyDescent="0.2">
      <c r="A79" s="53"/>
      <c r="B79" s="53"/>
      <c r="C79" s="53"/>
      <c r="D79" s="73"/>
      <c r="E79" s="53"/>
      <c r="F79" s="58"/>
      <c r="G79" s="58"/>
      <c r="H79" s="58"/>
      <c r="I79" s="53"/>
      <c r="J79" s="53"/>
      <c r="K79" s="53"/>
      <c r="L79" s="53"/>
      <c r="M79" s="59"/>
      <c r="N79" s="59"/>
    </row>
    <row r="80" spans="1:14" ht="12.75" customHeight="1" x14ac:dyDescent="0.2">
      <c r="A80" s="53"/>
      <c r="B80" s="53"/>
      <c r="C80" s="53"/>
      <c r="D80" s="73"/>
      <c r="E80" s="53"/>
      <c r="F80" s="58"/>
      <c r="G80" s="58"/>
      <c r="H80" s="58"/>
      <c r="I80" s="53"/>
      <c r="J80" s="53"/>
      <c r="K80" s="53"/>
      <c r="L80" s="53"/>
      <c r="M80" s="59"/>
      <c r="N80" s="59"/>
    </row>
    <row r="81" spans="1:16" ht="12.75" customHeight="1" x14ac:dyDescent="0.2">
      <c r="A81" s="53"/>
      <c r="B81" s="53"/>
      <c r="C81" s="53"/>
      <c r="D81" s="73"/>
      <c r="E81" s="53"/>
      <c r="F81" s="58"/>
      <c r="G81" s="58"/>
      <c r="H81" s="58"/>
      <c r="I81" s="53"/>
      <c r="J81" s="53"/>
      <c r="K81" s="53"/>
      <c r="L81" s="53"/>
      <c r="M81" s="59"/>
      <c r="N81" s="59"/>
    </row>
    <row r="82" spans="1:16" ht="12.75" customHeight="1" x14ac:dyDescent="0.2">
      <c r="A82" s="53"/>
      <c r="B82" s="53"/>
      <c r="C82" s="53"/>
      <c r="D82" s="73"/>
      <c r="E82" s="53"/>
      <c r="F82" s="58"/>
      <c r="G82" s="58"/>
      <c r="H82" s="58"/>
      <c r="I82" s="53"/>
      <c r="J82" s="53"/>
      <c r="K82" s="53"/>
      <c r="L82" s="53"/>
      <c r="M82" s="59"/>
      <c r="N82" s="59"/>
    </row>
    <row r="83" spans="1:16" ht="12.75" customHeight="1" x14ac:dyDescent="0.2">
      <c r="A83" s="53"/>
      <c r="B83" s="53"/>
      <c r="C83" s="53"/>
      <c r="D83" s="73"/>
      <c r="E83" s="53"/>
      <c r="F83" s="58"/>
      <c r="G83" s="58"/>
      <c r="H83" s="58"/>
      <c r="I83" s="53"/>
      <c r="J83" s="53"/>
      <c r="K83" s="53"/>
      <c r="L83" s="53"/>
      <c r="M83" s="59"/>
      <c r="N83" s="59"/>
      <c r="P83" s="29"/>
    </row>
    <row r="84" spans="1:16" ht="12.75" customHeight="1" x14ac:dyDescent="0.2">
      <c r="A84" s="53"/>
      <c r="B84" s="53"/>
      <c r="C84" s="53"/>
      <c r="D84" s="73"/>
      <c r="E84" s="53"/>
      <c r="F84" s="58"/>
      <c r="G84" s="58"/>
      <c r="H84" s="58"/>
      <c r="I84" s="53"/>
      <c r="J84" s="58"/>
      <c r="K84" s="53"/>
      <c r="L84" s="53"/>
      <c r="M84" s="59"/>
      <c r="N84" s="59"/>
      <c r="P84" s="29"/>
    </row>
    <row r="85" spans="1:16" ht="12.75" customHeight="1" x14ac:dyDescent="0.2">
      <c r="A85" s="59"/>
      <c r="B85" s="59"/>
      <c r="C85" s="59"/>
      <c r="D85" s="75"/>
      <c r="E85" s="59"/>
      <c r="F85" s="59"/>
      <c r="G85" s="59"/>
      <c r="H85" s="59"/>
      <c r="I85" s="53"/>
      <c r="J85" s="53"/>
      <c r="K85" s="53"/>
      <c r="L85" s="53"/>
      <c r="M85" s="59"/>
      <c r="N85" s="59"/>
    </row>
    <row r="86" spans="1:16" ht="12.75" customHeight="1" x14ac:dyDescent="0.2">
      <c r="A86" s="59"/>
      <c r="B86" s="59"/>
      <c r="C86" s="59"/>
      <c r="D86" s="75"/>
      <c r="E86" s="59"/>
      <c r="F86" s="58"/>
      <c r="G86" s="58"/>
      <c r="H86" s="58"/>
      <c r="I86" s="59"/>
      <c r="J86" s="59"/>
      <c r="K86" s="59"/>
      <c r="L86" s="59"/>
      <c r="M86" s="59"/>
      <c r="N86" s="59"/>
    </row>
    <row r="87" spans="1:16" ht="12.75" customHeight="1" x14ac:dyDescent="0.2">
      <c r="A87" s="59"/>
      <c r="B87" s="59"/>
      <c r="C87" s="59"/>
      <c r="D87" s="75"/>
      <c r="E87" s="59"/>
      <c r="F87" s="58"/>
      <c r="G87" s="58"/>
      <c r="H87" s="58"/>
      <c r="I87" s="59"/>
      <c r="J87" s="59"/>
      <c r="K87" s="59"/>
      <c r="L87" s="59"/>
    </row>
    <row r="88" spans="1:16" ht="12.75" customHeight="1" x14ac:dyDescent="0.2">
      <c r="A88" s="62"/>
      <c r="B88" s="58"/>
      <c r="C88" s="58"/>
      <c r="D88" s="76"/>
      <c r="E88" s="58"/>
      <c r="F88" s="58"/>
      <c r="G88" s="58"/>
      <c r="H88" s="58"/>
      <c r="I88" s="59"/>
      <c r="J88" s="59"/>
      <c r="K88" s="59"/>
      <c r="L88" s="59"/>
    </row>
    <row r="89" spans="1:16" ht="12.75" customHeight="1" x14ac:dyDescent="0.2">
      <c r="I89" s="53"/>
      <c r="J89" s="53"/>
      <c r="K89" s="63"/>
      <c r="L89" s="53"/>
      <c r="M89" s="28"/>
    </row>
    <row r="90" spans="1:16" ht="12.75" customHeight="1" x14ac:dyDescent="0.2">
      <c r="I90" s="53"/>
      <c r="J90" s="53"/>
      <c r="K90" s="63"/>
      <c r="L90" s="53"/>
      <c r="M90" s="28"/>
      <c r="N90" s="14"/>
    </row>
    <row r="91" spans="1:16" ht="12.75" customHeight="1" x14ac:dyDescent="0.2">
      <c r="I91" s="53"/>
      <c r="J91" s="53"/>
      <c r="K91" s="63"/>
      <c r="L91" s="53"/>
      <c r="M91" s="14"/>
    </row>
    <row r="92" spans="1:16" ht="12.75" customHeight="1" x14ac:dyDescent="0.2">
      <c r="I92" s="53"/>
      <c r="J92" s="53"/>
      <c r="K92" s="63"/>
      <c r="L92" s="53"/>
      <c r="M92" s="14"/>
      <c r="N92" s="31"/>
    </row>
    <row r="93" spans="1:16" ht="12.75" customHeight="1" x14ac:dyDescent="0.2">
      <c r="I93" s="53"/>
      <c r="J93" s="53"/>
      <c r="K93" s="63"/>
      <c r="L93" s="53"/>
      <c r="M93" s="14"/>
      <c r="N93" s="31"/>
    </row>
    <row r="94" spans="1:16" ht="12.75" customHeight="1" x14ac:dyDescent="0.2">
      <c r="I94" s="53"/>
      <c r="J94" s="53"/>
      <c r="K94" s="63"/>
      <c r="L94" s="53"/>
      <c r="M94" s="28"/>
    </row>
    <row r="95" spans="1:16" ht="12.75" customHeight="1" x14ac:dyDescent="0.2">
      <c r="I95" s="53"/>
      <c r="J95" s="53"/>
      <c r="K95" s="63"/>
      <c r="L95" s="53"/>
      <c r="M95" s="14"/>
      <c r="N95" s="31"/>
    </row>
    <row r="96" spans="1:16" ht="12.75" customHeight="1" x14ac:dyDescent="0.2">
      <c r="I96" s="53"/>
      <c r="J96" s="58"/>
      <c r="K96" s="63"/>
      <c r="L96" s="53"/>
      <c r="M96" s="28"/>
    </row>
    <row r="97" spans="9:14" ht="12.75" customHeight="1" x14ac:dyDescent="0.2">
      <c r="I97" s="53"/>
      <c r="J97" s="53"/>
      <c r="K97" s="63"/>
      <c r="L97" s="53"/>
      <c r="M97" s="14"/>
      <c r="N97" s="31"/>
    </row>
    <row r="98" spans="9:14" ht="12.75" customHeight="1" x14ac:dyDescent="0.2">
      <c r="I98" s="53"/>
      <c r="J98" s="53"/>
      <c r="K98" s="53"/>
      <c r="L98" s="53"/>
      <c r="M98" s="28"/>
    </row>
    <row r="99" spans="9:14" ht="12.75" customHeight="1" x14ac:dyDescent="0.2">
      <c r="I99" s="53"/>
      <c r="J99" s="53"/>
      <c r="K99" s="53"/>
      <c r="L99" s="53"/>
    </row>
    <row r="100" spans="9:14" ht="12.75" customHeight="1" x14ac:dyDescent="0.2">
      <c r="I100" s="53"/>
      <c r="J100" s="53"/>
      <c r="K100" s="53"/>
      <c r="L100" s="53"/>
    </row>
    <row r="101" spans="9:14" ht="12.75" customHeight="1" x14ac:dyDescent="0.2">
      <c r="I101" s="53"/>
      <c r="J101" s="53"/>
      <c r="K101" s="53"/>
      <c r="L101" s="53"/>
    </row>
    <row r="102" spans="9:14" ht="12.75" customHeight="1" x14ac:dyDescent="0.2">
      <c r="I102" s="53"/>
      <c r="J102" s="53"/>
      <c r="K102" s="53"/>
      <c r="L102" s="53"/>
    </row>
    <row r="103" spans="9:14" ht="12.75" customHeight="1" x14ac:dyDescent="0.2">
      <c r="I103" s="53"/>
      <c r="J103" s="58"/>
      <c r="K103" s="53"/>
      <c r="L103" s="53"/>
    </row>
    <row r="104" spans="9:14" ht="12.75" customHeight="1" x14ac:dyDescent="0.2">
      <c r="I104" s="53"/>
      <c r="J104" s="53"/>
      <c r="K104" s="53"/>
      <c r="L104" s="53"/>
    </row>
    <row r="105" spans="9:14" ht="12.75" customHeight="1" x14ac:dyDescent="0.2">
      <c r="I105" s="53"/>
      <c r="J105" s="53"/>
      <c r="K105" s="53"/>
      <c r="L105" s="53"/>
    </row>
    <row r="106" spans="9:14" ht="12.75" customHeight="1" x14ac:dyDescent="0.2">
      <c r="I106" s="53"/>
      <c r="J106" s="53"/>
      <c r="K106" s="53"/>
      <c r="L106" s="53"/>
    </row>
    <row r="107" spans="9:14" ht="12.75" customHeight="1" x14ac:dyDescent="0.2">
      <c r="I107" s="53"/>
      <c r="J107" s="53"/>
      <c r="K107" s="53"/>
      <c r="L107" s="53"/>
    </row>
    <row r="108" spans="9:14" ht="12.75" customHeight="1" x14ac:dyDescent="0.2">
      <c r="I108" s="53"/>
      <c r="J108" s="53"/>
      <c r="K108" s="53"/>
      <c r="L108" s="53"/>
    </row>
    <row r="109" spans="9:14" ht="12.75" customHeight="1" x14ac:dyDescent="0.2">
      <c r="I109" s="53"/>
      <c r="J109" s="58"/>
      <c r="K109" s="53"/>
      <c r="L109" s="53"/>
    </row>
    <row r="110" spans="9:14" ht="12.75" customHeight="1" x14ac:dyDescent="0.2">
      <c r="I110" s="59"/>
      <c r="J110" s="59"/>
      <c r="K110" s="59"/>
      <c r="L110" s="59"/>
    </row>
    <row r="111" spans="9:14" ht="12.75" customHeight="1" x14ac:dyDescent="0.2">
      <c r="I111" s="59"/>
      <c r="J111" s="59"/>
      <c r="K111" s="59"/>
      <c r="L111" s="59"/>
    </row>
    <row r="112" spans="9:14" ht="12.75" customHeight="1" x14ac:dyDescent="0.2">
      <c r="I112" s="59"/>
      <c r="J112" s="59"/>
      <c r="K112" s="59"/>
      <c r="L112" s="59"/>
    </row>
    <row r="113" spans="1:12" ht="12.75" customHeight="1" x14ac:dyDescent="0.2">
      <c r="I113" s="59"/>
      <c r="J113" s="59"/>
      <c r="K113" s="59"/>
      <c r="L113" s="59"/>
    </row>
    <row r="114" spans="1:12" ht="12.75" customHeight="1" x14ac:dyDescent="0.2">
      <c r="I114" s="53"/>
      <c r="J114" s="53"/>
      <c r="K114" s="59"/>
      <c r="L114" s="59"/>
    </row>
    <row r="115" spans="1:12" ht="12.75" customHeight="1" x14ac:dyDescent="0.2">
      <c r="I115" s="53"/>
      <c r="J115" s="58"/>
      <c r="K115" s="59"/>
      <c r="L115" s="59"/>
    </row>
    <row r="116" spans="1:12" ht="12.75" customHeight="1" x14ac:dyDescent="0.2">
      <c r="I116" s="59"/>
      <c r="J116" s="59"/>
      <c r="K116" s="59"/>
      <c r="L116" s="59"/>
    </row>
    <row r="117" spans="1:12" ht="12.75" customHeight="1" x14ac:dyDescent="0.2">
      <c r="I117" s="59"/>
      <c r="J117" s="59"/>
      <c r="K117" s="59"/>
      <c r="L117" s="59"/>
    </row>
    <row r="118" spans="1:12" ht="12.75" customHeight="1" x14ac:dyDescent="0.2">
      <c r="I118" s="59"/>
      <c r="J118" s="59"/>
      <c r="K118" s="59"/>
      <c r="L118" s="59"/>
    </row>
    <row r="119" spans="1:12" ht="12.75" customHeight="1" x14ac:dyDescent="0.2">
      <c r="I119" s="59"/>
      <c r="J119" s="59"/>
      <c r="K119" s="59"/>
      <c r="L119" s="59"/>
    </row>
    <row r="120" spans="1:12" ht="12.75" customHeight="1" x14ac:dyDescent="0.2">
      <c r="I120" s="53"/>
      <c r="J120" s="53"/>
      <c r="K120" s="59"/>
      <c r="L120" s="59"/>
    </row>
    <row r="121" spans="1:12" ht="12.75" customHeight="1" x14ac:dyDescent="0.2">
      <c r="I121" s="53"/>
      <c r="J121" s="58"/>
      <c r="K121" s="59"/>
      <c r="L121" s="59"/>
    </row>
    <row r="122" spans="1:12" ht="12.75" customHeight="1" x14ac:dyDescent="0.2">
      <c r="I122" s="59"/>
      <c r="J122" s="59"/>
      <c r="K122" s="59"/>
      <c r="L122" s="59"/>
    </row>
    <row r="123" spans="1:12" ht="12.75" customHeight="1" x14ac:dyDescent="0.2">
      <c r="I123" s="59"/>
      <c r="J123" s="59"/>
      <c r="K123" s="59"/>
      <c r="L123" s="59"/>
    </row>
    <row r="124" spans="1:12" ht="12.75" customHeight="1" x14ac:dyDescent="0.2">
      <c r="I124" s="59"/>
      <c r="J124" s="59"/>
      <c r="K124" s="59"/>
      <c r="L124" s="59"/>
    </row>
    <row r="125" spans="1:12" ht="12.75" customHeight="1" x14ac:dyDescent="0.2">
      <c r="I125" s="59"/>
      <c r="J125" s="59"/>
      <c r="K125" s="59"/>
      <c r="L125" s="59"/>
    </row>
    <row r="126" spans="1:12" ht="12.75" customHeight="1" x14ac:dyDescent="0.2">
      <c r="I126" s="53"/>
      <c r="J126" s="53"/>
      <c r="K126" s="59"/>
      <c r="L126" s="59"/>
    </row>
    <row r="127" spans="1:12" ht="12.75" customHeight="1" x14ac:dyDescent="0.2">
      <c r="I127" s="53"/>
      <c r="J127" s="58"/>
      <c r="K127" s="59"/>
      <c r="L127" s="59"/>
    </row>
    <row r="128" spans="1:12" ht="12.75" customHeight="1" x14ac:dyDescent="0.2">
      <c r="A128" s="59"/>
      <c r="B128" s="59"/>
      <c r="C128" s="59"/>
      <c r="D128" s="75"/>
      <c r="E128" s="59"/>
      <c r="F128" s="58"/>
      <c r="G128" s="58"/>
      <c r="H128" s="58"/>
      <c r="I128" s="59"/>
      <c r="J128" s="59"/>
      <c r="K128" s="59"/>
      <c r="L128" s="59"/>
    </row>
    <row r="129" spans="1:12" ht="12.75" customHeight="1" x14ac:dyDescent="0.2">
      <c r="A129" s="59"/>
      <c r="B129" s="59"/>
      <c r="C129" s="59"/>
      <c r="D129" s="75"/>
      <c r="E129" s="59"/>
      <c r="F129" s="58"/>
      <c r="G129" s="58"/>
      <c r="H129" s="58"/>
      <c r="I129" s="59"/>
      <c r="J129" s="59"/>
      <c r="K129" s="59"/>
      <c r="L129" s="59"/>
    </row>
    <row r="130" spans="1:12" ht="12.75" customHeight="1" x14ac:dyDescent="0.2">
      <c r="A130" s="59"/>
      <c r="B130" s="59"/>
      <c r="C130" s="59"/>
      <c r="D130" s="75"/>
      <c r="E130" s="59"/>
      <c r="F130" s="58"/>
      <c r="G130" s="58"/>
      <c r="H130" s="58"/>
      <c r="I130" s="59"/>
      <c r="J130" s="59"/>
      <c r="K130" s="59"/>
      <c r="L130" s="59"/>
    </row>
    <row r="131" spans="1:12" ht="12.75" customHeight="1" x14ac:dyDescent="0.2">
      <c r="A131" s="59"/>
      <c r="B131" s="59"/>
      <c r="C131" s="59"/>
      <c r="D131" s="75"/>
      <c r="E131" s="59"/>
      <c r="F131" s="58"/>
      <c r="G131" s="58"/>
      <c r="H131" s="58"/>
      <c r="I131" s="59"/>
      <c r="J131" s="59"/>
      <c r="K131" s="59"/>
      <c r="L131" s="59"/>
    </row>
    <row r="132" spans="1:12" ht="12.75" customHeight="1" x14ac:dyDescent="0.2">
      <c r="A132" s="59"/>
      <c r="B132" s="59"/>
      <c r="C132" s="59"/>
      <c r="D132" s="75"/>
      <c r="E132" s="59"/>
      <c r="F132" s="58"/>
      <c r="G132" s="58"/>
      <c r="H132" s="58"/>
      <c r="I132" s="59"/>
      <c r="J132" s="59"/>
      <c r="K132" s="59"/>
      <c r="L132" s="59"/>
    </row>
    <row r="133" spans="1:12" ht="12.75" customHeight="1" x14ac:dyDescent="0.2">
      <c r="A133" s="59"/>
      <c r="B133" s="59"/>
      <c r="C133" s="59"/>
      <c r="D133" s="75"/>
      <c r="E133" s="59"/>
      <c r="F133" s="58"/>
      <c r="G133" s="58"/>
      <c r="H133" s="58"/>
      <c r="I133" s="59"/>
      <c r="J133" s="59"/>
      <c r="K133" s="59"/>
      <c r="L133" s="59"/>
    </row>
    <row r="134" spans="1:12" ht="12.75" customHeight="1" x14ac:dyDescent="0.2">
      <c r="A134" s="59"/>
      <c r="B134" s="59"/>
      <c r="C134" s="59"/>
      <c r="D134" s="75"/>
      <c r="E134" s="59"/>
      <c r="F134" s="58"/>
      <c r="G134" s="58"/>
      <c r="H134" s="58"/>
      <c r="I134" s="59"/>
      <c r="J134" s="59"/>
      <c r="K134" s="59"/>
      <c r="L134" s="59"/>
    </row>
    <row r="135" spans="1:12" ht="12.75" customHeight="1" x14ac:dyDescent="0.2">
      <c r="A135" s="59"/>
      <c r="B135" s="59"/>
      <c r="C135" s="59"/>
      <c r="D135" s="75"/>
      <c r="E135" s="59"/>
      <c r="F135" s="58"/>
      <c r="G135" s="58"/>
      <c r="H135" s="58"/>
      <c r="I135" s="59"/>
      <c r="J135" s="59"/>
      <c r="K135" s="59"/>
      <c r="L135" s="59"/>
    </row>
    <row r="136" spans="1:12" ht="12.75" customHeight="1" x14ac:dyDescent="0.2">
      <c r="A136" s="59"/>
      <c r="B136" s="59"/>
      <c r="C136" s="59"/>
      <c r="D136" s="75"/>
      <c r="E136" s="59"/>
      <c r="F136" s="58"/>
      <c r="G136" s="58"/>
      <c r="H136" s="58"/>
      <c r="I136" s="59"/>
      <c r="J136" s="59"/>
      <c r="K136" s="59"/>
      <c r="L136" s="59"/>
    </row>
    <row r="137" spans="1:12" ht="12.75" customHeight="1" x14ac:dyDescent="0.2">
      <c r="A137" s="59"/>
      <c r="B137" s="59"/>
      <c r="C137" s="59"/>
      <c r="D137" s="75"/>
      <c r="E137" s="59"/>
      <c r="F137" s="58"/>
      <c r="G137" s="58"/>
      <c r="H137" s="58"/>
      <c r="I137" s="59"/>
      <c r="J137" s="59"/>
      <c r="K137" s="59"/>
      <c r="L137" s="59"/>
    </row>
    <row r="138" spans="1:12" ht="12.75" customHeight="1" x14ac:dyDescent="0.2">
      <c r="A138" s="59"/>
      <c r="B138" s="59"/>
      <c r="C138" s="59"/>
      <c r="D138" s="75"/>
      <c r="E138" s="59"/>
      <c r="F138" s="58"/>
      <c r="G138" s="58"/>
      <c r="H138" s="58"/>
      <c r="I138" s="59"/>
      <c r="J138" s="59"/>
      <c r="K138" s="59"/>
      <c r="L138" s="59"/>
    </row>
    <row r="139" spans="1:12" ht="12.75" customHeight="1" x14ac:dyDescent="0.2">
      <c r="A139" s="59"/>
      <c r="B139" s="59"/>
      <c r="C139" s="59"/>
      <c r="D139" s="75"/>
      <c r="E139" s="59"/>
      <c r="F139" s="58"/>
      <c r="G139" s="58"/>
      <c r="H139" s="58"/>
      <c r="I139" s="59"/>
      <c r="J139" s="59"/>
      <c r="K139" s="59"/>
      <c r="L139" s="59"/>
    </row>
    <row r="140" spans="1:12" ht="12.75" customHeight="1" x14ac:dyDescent="0.2">
      <c r="A140" s="59"/>
      <c r="B140" s="59"/>
      <c r="C140" s="59"/>
      <c r="D140" s="75"/>
      <c r="E140" s="59"/>
      <c r="F140" s="58"/>
      <c r="G140" s="58"/>
      <c r="H140" s="58"/>
      <c r="I140" s="59"/>
      <c r="J140" s="59"/>
      <c r="K140" s="59"/>
      <c r="L140" s="59"/>
    </row>
    <row r="141" spans="1:12" ht="12.75" customHeight="1" x14ac:dyDescent="0.2">
      <c r="A141" s="59"/>
      <c r="B141" s="59"/>
      <c r="C141" s="59"/>
      <c r="D141" s="75"/>
      <c r="E141" s="59"/>
      <c r="F141" s="58"/>
      <c r="G141" s="58"/>
      <c r="H141" s="58"/>
      <c r="I141" s="59"/>
      <c r="J141" s="59"/>
      <c r="K141" s="59"/>
      <c r="L141" s="59"/>
    </row>
    <row r="142" spans="1:12" ht="12.75" customHeight="1" x14ac:dyDescent="0.2">
      <c r="A142" s="59"/>
      <c r="B142" s="59"/>
      <c r="C142" s="59"/>
      <c r="D142" s="75"/>
      <c r="E142" s="59"/>
      <c r="F142" s="58"/>
      <c r="G142" s="58"/>
      <c r="H142" s="58"/>
      <c r="I142" s="59"/>
      <c r="J142" s="59"/>
      <c r="K142" s="59"/>
      <c r="L142" s="59"/>
    </row>
    <row r="143" spans="1:12" ht="12.75" customHeight="1" x14ac:dyDescent="0.2">
      <c r="A143" s="59"/>
      <c r="B143" s="59"/>
      <c r="C143" s="59"/>
      <c r="D143" s="75"/>
      <c r="E143" s="59"/>
      <c r="F143" s="58"/>
      <c r="G143" s="58"/>
      <c r="H143" s="58"/>
      <c r="I143" s="59"/>
      <c r="J143" s="59"/>
      <c r="K143" s="59"/>
      <c r="L143" s="59"/>
    </row>
    <row r="144" spans="1:12" ht="12.75" customHeight="1" x14ac:dyDescent="0.2">
      <c r="A144" s="59"/>
      <c r="B144" s="59"/>
      <c r="C144" s="59"/>
      <c r="D144" s="75"/>
      <c r="E144" s="59"/>
      <c r="F144" s="58"/>
      <c r="G144" s="58"/>
      <c r="H144" s="58"/>
      <c r="I144" s="59"/>
      <c r="J144" s="59"/>
      <c r="K144" s="59"/>
      <c r="L144" s="59"/>
    </row>
    <row r="145" spans="1:12" ht="12.75" customHeight="1" x14ac:dyDescent="0.2">
      <c r="A145" s="59"/>
      <c r="B145" s="59"/>
      <c r="C145" s="59"/>
      <c r="D145" s="75"/>
      <c r="E145" s="59"/>
      <c r="F145" s="58"/>
      <c r="G145" s="58"/>
      <c r="H145" s="58"/>
      <c r="I145" s="59"/>
      <c r="J145" s="59"/>
      <c r="K145" s="59"/>
      <c r="L145" s="59"/>
    </row>
    <row r="146" spans="1:12" ht="12.75" customHeight="1" x14ac:dyDescent="0.2">
      <c r="A146" s="59"/>
      <c r="B146" s="59"/>
      <c r="C146" s="59"/>
      <c r="D146" s="75"/>
      <c r="E146" s="59"/>
      <c r="F146" s="58"/>
      <c r="G146" s="58"/>
      <c r="H146" s="58"/>
      <c r="I146" s="59"/>
      <c r="J146" s="59"/>
      <c r="K146" s="59"/>
      <c r="L146" s="59"/>
    </row>
    <row r="147" spans="1:12" ht="12.75" customHeight="1" x14ac:dyDescent="0.2">
      <c r="A147" s="59"/>
      <c r="B147" s="59"/>
      <c r="C147" s="59"/>
      <c r="D147" s="75"/>
      <c r="E147" s="59"/>
      <c r="F147" s="58"/>
      <c r="G147" s="58"/>
      <c r="H147" s="58"/>
      <c r="I147" s="59"/>
      <c r="J147" s="59"/>
      <c r="K147" s="59"/>
      <c r="L147" s="59"/>
    </row>
    <row r="148" spans="1:12" ht="12.75" customHeight="1" x14ac:dyDescent="0.2">
      <c r="A148" s="59"/>
      <c r="B148" s="59"/>
      <c r="C148" s="59"/>
      <c r="D148" s="75"/>
      <c r="E148" s="59"/>
      <c r="F148" s="58"/>
      <c r="G148" s="58"/>
      <c r="H148" s="58"/>
      <c r="I148" s="59"/>
      <c r="J148" s="59"/>
      <c r="K148" s="59"/>
      <c r="L148" s="59"/>
    </row>
    <row r="149" spans="1:12" ht="12.75" customHeight="1" x14ac:dyDescent="0.2">
      <c r="A149" s="59"/>
      <c r="B149" s="59"/>
      <c r="C149" s="59"/>
      <c r="D149" s="75"/>
      <c r="E149" s="59"/>
      <c r="F149" s="58"/>
      <c r="G149" s="58"/>
      <c r="H149" s="58"/>
      <c r="I149" s="59"/>
      <c r="J149" s="59"/>
      <c r="K149" s="59"/>
      <c r="L149" s="59"/>
    </row>
    <row r="150" spans="1:12" ht="12.75" customHeight="1" x14ac:dyDescent="0.2">
      <c r="A150" s="59"/>
      <c r="B150" s="59"/>
      <c r="C150" s="59"/>
      <c r="D150" s="75"/>
      <c r="E150" s="59"/>
      <c r="F150" s="58"/>
      <c r="G150" s="58"/>
      <c r="H150" s="58"/>
      <c r="I150" s="59"/>
      <c r="J150" s="59"/>
      <c r="K150" s="59"/>
      <c r="L150" s="59"/>
    </row>
    <row r="151" spans="1:12" ht="12.75" customHeight="1" x14ac:dyDescent="0.2">
      <c r="A151" s="59"/>
      <c r="B151" s="59"/>
      <c r="C151" s="59"/>
      <c r="D151" s="75"/>
      <c r="E151" s="59"/>
      <c r="F151" s="58"/>
      <c r="G151" s="58"/>
      <c r="H151" s="58"/>
      <c r="I151" s="59"/>
      <c r="J151" s="59"/>
      <c r="K151" s="59"/>
      <c r="L151" s="59"/>
    </row>
    <row r="152" spans="1:12" ht="12.75" customHeight="1" x14ac:dyDescent="0.2">
      <c r="A152" s="59"/>
      <c r="B152" s="59"/>
      <c r="C152" s="59"/>
      <c r="D152" s="75"/>
      <c r="E152" s="59"/>
      <c r="F152" s="58"/>
      <c r="G152" s="58"/>
      <c r="H152" s="58"/>
      <c r="I152" s="59"/>
      <c r="J152" s="59"/>
      <c r="K152" s="59"/>
      <c r="L152" s="59"/>
    </row>
    <row r="153" spans="1:12" ht="12.75" customHeight="1" x14ac:dyDescent="0.2">
      <c r="A153" s="59"/>
      <c r="B153" s="59"/>
      <c r="C153" s="59"/>
      <c r="D153" s="75"/>
      <c r="E153" s="59"/>
      <c r="F153" s="58"/>
      <c r="G153" s="58"/>
      <c r="H153" s="58"/>
      <c r="I153" s="59"/>
      <c r="J153" s="59"/>
      <c r="K153" s="59"/>
      <c r="L153" s="59"/>
    </row>
    <row r="154" spans="1:12" ht="12.75" customHeight="1" x14ac:dyDescent="0.2">
      <c r="A154" s="59"/>
      <c r="B154" s="59"/>
      <c r="C154" s="59"/>
      <c r="D154" s="75"/>
      <c r="E154" s="59"/>
      <c r="F154" s="58"/>
      <c r="G154" s="58"/>
      <c r="H154" s="58"/>
      <c r="I154" s="59"/>
      <c r="J154" s="59"/>
      <c r="K154" s="59"/>
      <c r="L154" s="59"/>
    </row>
    <row r="155" spans="1:12" ht="12.75" customHeight="1" x14ac:dyDescent="0.2">
      <c r="A155" s="59"/>
      <c r="B155" s="59"/>
      <c r="C155" s="59"/>
      <c r="D155" s="75"/>
      <c r="E155" s="59"/>
      <c r="F155" s="58"/>
      <c r="G155" s="58"/>
      <c r="H155" s="58"/>
      <c r="I155" s="59"/>
      <c r="J155" s="59"/>
      <c r="K155" s="59"/>
      <c r="L155" s="59"/>
    </row>
    <row r="156" spans="1:12" ht="12.75" customHeight="1" x14ac:dyDescent="0.2">
      <c r="A156" s="59"/>
      <c r="B156" s="59"/>
      <c r="C156" s="59"/>
      <c r="D156" s="75"/>
      <c r="E156" s="59"/>
      <c r="F156" s="58"/>
      <c r="G156" s="58"/>
      <c r="H156" s="58"/>
      <c r="I156" s="59"/>
      <c r="J156" s="59"/>
      <c r="K156" s="59"/>
      <c r="L156" s="59"/>
    </row>
    <row r="157" spans="1:12" ht="12.75" customHeight="1" x14ac:dyDescent="0.2">
      <c r="A157" s="59"/>
      <c r="B157" s="59"/>
      <c r="C157" s="59"/>
      <c r="D157" s="75"/>
      <c r="E157" s="59"/>
      <c r="F157" s="58"/>
      <c r="G157" s="58"/>
      <c r="H157" s="58"/>
      <c r="I157" s="59"/>
      <c r="J157" s="59"/>
      <c r="K157" s="59"/>
      <c r="L157" s="59"/>
    </row>
    <row r="158" spans="1:12" ht="12.75" customHeight="1" x14ac:dyDescent="0.2">
      <c r="A158" s="59"/>
      <c r="B158" s="59"/>
      <c r="C158" s="59"/>
      <c r="D158" s="75"/>
      <c r="E158" s="59"/>
      <c r="F158" s="58"/>
      <c r="G158" s="58"/>
      <c r="H158" s="58"/>
      <c r="I158" s="59"/>
      <c r="J158" s="59"/>
      <c r="K158" s="59"/>
      <c r="L158" s="59"/>
    </row>
    <row r="159" spans="1:12" ht="12.75" customHeight="1" x14ac:dyDescent="0.2">
      <c r="A159" s="59"/>
      <c r="B159" s="59"/>
      <c r="C159" s="59"/>
      <c r="D159" s="75"/>
      <c r="E159" s="59"/>
      <c r="F159" s="58"/>
      <c r="G159" s="58"/>
      <c r="H159" s="58"/>
      <c r="I159" s="59"/>
      <c r="J159" s="59"/>
      <c r="K159" s="59"/>
      <c r="L159" s="59"/>
    </row>
    <row r="160" spans="1:12" ht="12.75" customHeight="1" x14ac:dyDescent="0.2">
      <c r="A160" s="59"/>
      <c r="B160" s="59"/>
      <c r="C160" s="59"/>
      <c r="D160" s="75"/>
      <c r="E160" s="59"/>
      <c r="F160" s="58"/>
      <c r="G160" s="58"/>
      <c r="H160" s="58"/>
      <c r="I160" s="59"/>
      <c r="J160" s="59"/>
      <c r="K160" s="59"/>
      <c r="L160" s="59"/>
    </row>
    <row r="161" spans="1:12" ht="12.75" customHeight="1" x14ac:dyDescent="0.2">
      <c r="A161" s="59"/>
      <c r="B161" s="59"/>
      <c r="C161" s="59"/>
      <c r="D161" s="75"/>
      <c r="E161" s="59"/>
      <c r="F161" s="58"/>
      <c r="G161" s="58"/>
      <c r="H161" s="58"/>
      <c r="I161" s="59"/>
      <c r="J161" s="59"/>
      <c r="K161" s="59"/>
      <c r="L161" s="59"/>
    </row>
    <row r="162" spans="1:12" ht="12.75" customHeight="1" x14ac:dyDescent="0.2">
      <c r="A162" s="59"/>
      <c r="B162" s="59"/>
      <c r="C162" s="59"/>
      <c r="D162" s="75"/>
      <c r="E162" s="59"/>
      <c r="F162" s="58"/>
      <c r="G162" s="58"/>
      <c r="H162" s="58"/>
      <c r="I162" s="59"/>
      <c r="J162" s="59"/>
      <c r="K162" s="59"/>
      <c r="L162" s="59"/>
    </row>
    <row r="163" spans="1:12" ht="12.75" customHeight="1" x14ac:dyDescent="0.2">
      <c r="A163" s="59"/>
      <c r="B163" s="59"/>
      <c r="C163" s="59"/>
      <c r="D163" s="75"/>
      <c r="E163" s="59"/>
      <c r="F163" s="58"/>
      <c r="G163" s="58"/>
      <c r="H163" s="58"/>
      <c r="I163" s="59"/>
      <c r="J163" s="59"/>
      <c r="K163" s="59"/>
      <c r="L163" s="59"/>
    </row>
    <row r="164" spans="1:12" ht="12.75" customHeight="1" x14ac:dyDescent="0.2">
      <c r="A164" s="59"/>
      <c r="B164" s="59"/>
      <c r="C164" s="59"/>
      <c r="D164" s="75"/>
      <c r="E164" s="59"/>
      <c r="F164" s="58"/>
      <c r="G164" s="58"/>
      <c r="H164" s="58"/>
      <c r="I164" s="59"/>
      <c r="J164" s="59"/>
      <c r="K164" s="59"/>
      <c r="L164" s="59"/>
    </row>
    <row r="165" spans="1:12" ht="12.75" customHeight="1" x14ac:dyDescent="0.2">
      <c r="A165" s="59"/>
      <c r="B165" s="59"/>
      <c r="C165" s="59"/>
      <c r="D165" s="75"/>
      <c r="E165" s="59"/>
      <c r="F165" s="58"/>
      <c r="G165" s="58"/>
      <c r="H165" s="58"/>
      <c r="I165" s="59"/>
      <c r="J165" s="59"/>
      <c r="K165" s="59"/>
      <c r="L165" s="59"/>
    </row>
    <row r="166" spans="1:12" ht="12.75" customHeight="1" x14ac:dyDescent="0.2">
      <c r="A166" s="59"/>
      <c r="B166" s="59"/>
      <c r="C166" s="59"/>
      <c r="D166" s="75"/>
      <c r="E166" s="59"/>
      <c r="F166" s="58"/>
      <c r="G166" s="58"/>
      <c r="H166" s="58"/>
      <c r="I166" s="59"/>
      <c r="J166" s="59"/>
      <c r="K166" s="59"/>
      <c r="L166" s="59"/>
    </row>
    <row r="167" spans="1:12" ht="12.75" customHeight="1" x14ac:dyDescent="0.2">
      <c r="A167" s="59"/>
      <c r="B167" s="59"/>
      <c r="C167" s="59"/>
      <c r="D167" s="75"/>
      <c r="E167" s="59"/>
      <c r="F167" s="58"/>
      <c r="G167" s="58"/>
      <c r="H167" s="58"/>
      <c r="I167" s="59"/>
      <c r="J167" s="59"/>
      <c r="K167" s="59"/>
      <c r="L167" s="59"/>
    </row>
    <row r="168" spans="1:12" ht="12.75" customHeight="1" x14ac:dyDescent="0.2">
      <c r="A168" s="59"/>
      <c r="B168" s="59"/>
      <c r="C168" s="59"/>
      <c r="D168" s="75"/>
      <c r="E168" s="59"/>
      <c r="F168" s="58"/>
      <c r="G168" s="58"/>
      <c r="H168" s="58"/>
      <c r="I168" s="59"/>
      <c r="J168" s="59"/>
      <c r="K168" s="59"/>
      <c r="L168" s="59"/>
    </row>
    <row r="169" spans="1:12" ht="12.75" customHeight="1" x14ac:dyDescent="0.2">
      <c r="A169" s="59"/>
      <c r="B169" s="59"/>
      <c r="C169" s="59"/>
      <c r="D169" s="75"/>
      <c r="E169" s="59"/>
      <c r="F169" s="58"/>
      <c r="G169" s="58"/>
      <c r="H169" s="58"/>
      <c r="I169" s="59"/>
      <c r="J169" s="59"/>
      <c r="K169" s="59"/>
      <c r="L169" s="59"/>
    </row>
    <row r="170" spans="1:12" ht="12.75" customHeight="1" x14ac:dyDescent="0.2">
      <c r="A170" s="59"/>
      <c r="B170" s="59"/>
      <c r="C170" s="59"/>
      <c r="D170" s="75"/>
      <c r="E170" s="59"/>
      <c r="F170" s="58"/>
      <c r="G170" s="58"/>
      <c r="H170" s="58"/>
      <c r="I170" s="59"/>
      <c r="J170" s="59"/>
      <c r="K170" s="59"/>
      <c r="L170" s="59"/>
    </row>
    <row r="171" spans="1:12" ht="12.75" customHeight="1" x14ac:dyDescent="0.2">
      <c r="A171" s="59"/>
      <c r="B171" s="59"/>
      <c r="C171" s="59"/>
      <c r="D171" s="75"/>
      <c r="E171" s="59"/>
      <c r="F171" s="58"/>
      <c r="G171" s="58"/>
      <c r="H171" s="58"/>
      <c r="I171" s="59"/>
      <c r="J171" s="59"/>
      <c r="K171" s="59"/>
      <c r="L171" s="59"/>
    </row>
    <row r="172" spans="1:12" ht="12.75" customHeight="1" x14ac:dyDescent="0.2">
      <c r="A172" s="59"/>
      <c r="B172" s="59"/>
      <c r="C172" s="59"/>
      <c r="D172" s="75"/>
      <c r="E172" s="59"/>
      <c r="F172" s="58"/>
      <c r="G172" s="58"/>
      <c r="H172" s="58"/>
      <c r="I172" s="59"/>
      <c r="J172" s="59"/>
      <c r="K172" s="59"/>
      <c r="L172" s="59"/>
    </row>
    <row r="173" spans="1:12" ht="12.75" customHeight="1" x14ac:dyDescent="0.2">
      <c r="A173" s="59"/>
      <c r="B173" s="59"/>
      <c r="C173" s="59"/>
      <c r="D173" s="75"/>
      <c r="E173" s="59"/>
      <c r="F173" s="58"/>
      <c r="G173" s="58"/>
      <c r="H173" s="58"/>
      <c r="I173" s="59"/>
      <c r="J173" s="59"/>
      <c r="K173" s="59"/>
      <c r="L173" s="59"/>
    </row>
    <row r="174" spans="1:12" ht="12.75" customHeight="1" x14ac:dyDescent="0.2">
      <c r="F174" s="31"/>
      <c r="G174" s="31"/>
      <c r="H174" s="31"/>
    </row>
    <row r="175" spans="1:12" ht="12.75" customHeight="1" x14ac:dyDescent="0.2">
      <c r="F175" s="31"/>
      <c r="G175" s="31"/>
      <c r="H175" s="31"/>
    </row>
    <row r="176" spans="1:12" ht="12.75" customHeight="1" x14ac:dyDescent="0.2">
      <c r="F176" s="31"/>
      <c r="G176" s="31"/>
      <c r="H176" s="31"/>
    </row>
    <row r="177" spans="6:8" ht="12.75" customHeight="1" x14ac:dyDescent="0.2">
      <c r="F177" s="31"/>
      <c r="G177" s="31"/>
      <c r="H177" s="31"/>
    </row>
    <row r="178" spans="6:8" ht="12.75" customHeight="1" x14ac:dyDescent="0.2">
      <c r="F178" s="31"/>
      <c r="G178" s="31"/>
      <c r="H178" s="31"/>
    </row>
    <row r="179" spans="6:8" ht="12.75" customHeight="1" x14ac:dyDescent="0.2">
      <c r="F179" s="31"/>
      <c r="G179" s="31"/>
      <c r="H179" s="31"/>
    </row>
    <row r="180" spans="6:8" ht="12.75" customHeight="1" x14ac:dyDescent="0.2">
      <c r="F180" s="31"/>
      <c r="G180" s="31"/>
      <c r="H180" s="31"/>
    </row>
    <row r="181" spans="6:8" ht="12.75" customHeight="1" x14ac:dyDescent="0.2">
      <c r="F181" s="31"/>
      <c r="G181" s="31"/>
      <c r="H181" s="31"/>
    </row>
    <row r="182" spans="6:8" ht="12.75" customHeight="1" x14ac:dyDescent="0.2">
      <c r="F182" s="31"/>
      <c r="G182" s="31"/>
      <c r="H182" s="31"/>
    </row>
    <row r="183" spans="6:8" ht="12.75" customHeight="1" x14ac:dyDescent="0.2">
      <c r="F183" s="31"/>
      <c r="G183" s="31"/>
      <c r="H183" s="31"/>
    </row>
    <row r="184" spans="6:8" ht="12.75" customHeight="1" x14ac:dyDescent="0.2">
      <c r="F184" s="31"/>
      <c r="G184" s="31"/>
      <c r="H184" s="31"/>
    </row>
    <row r="185" spans="6:8" ht="12.75" customHeight="1" x14ac:dyDescent="0.2">
      <c r="F185" s="31"/>
      <c r="G185" s="31"/>
      <c r="H185" s="31"/>
    </row>
    <row r="186" spans="6:8" ht="12.75" customHeight="1" x14ac:dyDescent="0.2">
      <c r="F186" s="31"/>
      <c r="G186" s="31"/>
      <c r="H186" s="31"/>
    </row>
    <row r="187" spans="6:8" ht="12.75" customHeight="1" x14ac:dyDescent="0.2">
      <c r="F187" s="31"/>
      <c r="G187" s="31"/>
      <c r="H187" s="31"/>
    </row>
    <row r="188" spans="6:8" ht="12.75" customHeight="1" x14ac:dyDescent="0.2">
      <c r="F188" s="31"/>
      <c r="G188" s="31"/>
      <c r="H188" s="31"/>
    </row>
    <row r="189" spans="6:8" ht="12.75" customHeight="1" x14ac:dyDescent="0.2">
      <c r="F189" s="31"/>
      <c r="G189" s="31"/>
      <c r="H189" s="31"/>
    </row>
    <row r="190" spans="6:8" ht="12.75" customHeight="1" x14ac:dyDescent="0.2">
      <c r="F190" s="31"/>
      <c r="G190" s="31"/>
      <c r="H190" s="31"/>
    </row>
    <row r="191" spans="6:8" ht="12.75" customHeight="1" x14ac:dyDescent="0.2">
      <c r="F191" s="31"/>
      <c r="G191" s="31"/>
      <c r="H191" s="31"/>
    </row>
    <row r="192" spans="6:8" ht="12.75" customHeight="1" x14ac:dyDescent="0.2">
      <c r="F192" s="31"/>
      <c r="G192" s="31"/>
      <c r="H192" s="31"/>
    </row>
    <row r="193" spans="6:8" ht="12.75" customHeight="1" x14ac:dyDescent="0.2">
      <c r="F193" s="31"/>
      <c r="G193" s="31"/>
      <c r="H193" s="31"/>
    </row>
    <row r="194" spans="6:8" ht="12.75" customHeight="1" x14ac:dyDescent="0.2">
      <c r="F194" s="31"/>
      <c r="G194" s="31"/>
      <c r="H194" s="31"/>
    </row>
    <row r="195" spans="6:8" ht="12.75" customHeight="1" x14ac:dyDescent="0.2">
      <c r="F195" s="31"/>
      <c r="G195" s="31"/>
      <c r="H195" s="31"/>
    </row>
    <row r="196" spans="6:8" ht="12.75" customHeight="1" x14ac:dyDescent="0.2">
      <c r="F196" s="31"/>
      <c r="G196" s="31"/>
      <c r="H196" s="31"/>
    </row>
    <row r="197" spans="6:8" ht="12.75" customHeight="1" x14ac:dyDescent="0.2">
      <c r="F197" s="31"/>
      <c r="G197" s="31"/>
      <c r="H197" s="31"/>
    </row>
    <row r="198" spans="6:8" ht="12.75" customHeight="1" x14ac:dyDescent="0.2">
      <c r="F198" s="31"/>
      <c r="G198" s="31"/>
      <c r="H198" s="31"/>
    </row>
    <row r="199" spans="6:8" ht="12.75" customHeight="1" x14ac:dyDescent="0.2">
      <c r="F199" s="31"/>
      <c r="G199" s="31"/>
      <c r="H199" s="31"/>
    </row>
    <row r="200" spans="6:8" ht="12.75" customHeight="1" x14ac:dyDescent="0.2">
      <c r="F200" s="31"/>
      <c r="G200" s="31"/>
      <c r="H200" s="31"/>
    </row>
    <row r="201" spans="6:8" ht="12.75" customHeight="1" x14ac:dyDescent="0.2">
      <c r="F201" s="31"/>
      <c r="G201" s="31"/>
      <c r="H201" s="31"/>
    </row>
    <row r="202" spans="6:8" ht="12.75" customHeight="1" x14ac:dyDescent="0.2">
      <c r="F202" s="31"/>
      <c r="G202" s="31"/>
      <c r="H202" s="31"/>
    </row>
    <row r="203" spans="6:8" ht="12.75" customHeight="1" x14ac:dyDescent="0.2">
      <c r="F203" s="31"/>
      <c r="G203" s="31"/>
      <c r="H203" s="31"/>
    </row>
    <row r="204" spans="6:8" ht="12.75" customHeight="1" x14ac:dyDescent="0.2">
      <c r="F204" s="31"/>
      <c r="G204" s="31"/>
      <c r="H204" s="31"/>
    </row>
    <row r="205" spans="6:8" ht="12.75" customHeight="1" x14ac:dyDescent="0.2">
      <c r="F205" s="31"/>
      <c r="G205" s="31"/>
      <c r="H205" s="31"/>
    </row>
    <row r="206" spans="6:8" ht="12.75" customHeight="1" x14ac:dyDescent="0.2">
      <c r="F206" s="31"/>
      <c r="G206" s="31"/>
      <c r="H206" s="31"/>
    </row>
    <row r="207" spans="6:8" ht="12.75" customHeight="1" x14ac:dyDescent="0.2">
      <c r="F207" s="31"/>
      <c r="G207" s="31"/>
      <c r="H207" s="31"/>
    </row>
    <row r="208" spans="6:8" ht="12.75" customHeight="1" x14ac:dyDescent="0.2">
      <c r="F208" s="31"/>
      <c r="G208" s="31"/>
      <c r="H208" s="31"/>
    </row>
    <row r="209" spans="6:8" ht="12.75" customHeight="1" x14ac:dyDescent="0.2">
      <c r="F209" s="31"/>
      <c r="G209" s="31"/>
      <c r="H209" s="31"/>
    </row>
    <row r="210" spans="6:8" ht="12.75" customHeight="1" x14ac:dyDescent="0.2">
      <c r="F210" s="31"/>
      <c r="G210" s="31"/>
      <c r="H210" s="31"/>
    </row>
    <row r="211" spans="6:8" ht="12.75" customHeight="1" x14ac:dyDescent="0.2">
      <c r="F211" s="31"/>
      <c r="G211" s="31"/>
      <c r="H211" s="31"/>
    </row>
    <row r="212" spans="6:8" ht="12.75" customHeight="1" x14ac:dyDescent="0.2">
      <c r="F212" s="31"/>
      <c r="G212" s="31"/>
      <c r="H212" s="31"/>
    </row>
    <row r="213" spans="6:8" ht="12.75" customHeight="1" x14ac:dyDescent="0.2">
      <c r="F213" s="31"/>
      <c r="G213" s="31"/>
      <c r="H213" s="31"/>
    </row>
    <row r="214" spans="6:8" ht="12.75" customHeight="1" x14ac:dyDescent="0.2">
      <c r="F214" s="31"/>
      <c r="G214" s="31"/>
      <c r="H214" s="31"/>
    </row>
    <row r="215" spans="6:8" ht="12.75" customHeight="1" x14ac:dyDescent="0.2">
      <c r="F215" s="31"/>
      <c r="G215" s="31"/>
      <c r="H215" s="31"/>
    </row>
    <row r="216" spans="6:8" ht="12.75" customHeight="1" x14ac:dyDescent="0.2">
      <c r="F216" s="31"/>
      <c r="G216" s="31"/>
      <c r="H216" s="31"/>
    </row>
    <row r="217" spans="6:8" ht="12.75" customHeight="1" x14ac:dyDescent="0.2">
      <c r="F217" s="31"/>
      <c r="G217" s="31"/>
      <c r="H217" s="31"/>
    </row>
    <row r="218" spans="6:8" ht="12.75" customHeight="1" x14ac:dyDescent="0.2">
      <c r="F218" s="31"/>
      <c r="G218" s="31"/>
      <c r="H218" s="31"/>
    </row>
    <row r="219" spans="6:8" ht="12.75" customHeight="1" x14ac:dyDescent="0.2">
      <c r="F219" s="31"/>
      <c r="G219" s="31"/>
      <c r="H219" s="31"/>
    </row>
    <row r="220" spans="6:8" ht="12.75" customHeight="1" x14ac:dyDescent="0.2">
      <c r="F220" s="31"/>
      <c r="G220" s="31"/>
      <c r="H220" s="31"/>
    </row>
    <row r="221" spans="6:8" ht="12.75" customHeight="1" x14ac:dyDescent="0.2">
      <c r="F221" s="31"/>
      <c r="G221" s="31"/>
      <c r="H221" s="31"/>
    </row>
    <row r="222" spans="6:8" ht="12.75" customHeight="1" x14ac:dyDescent="0.2">
      <c r="F222" s="31"/>
      <c r="G222" s="31"/>
      <c r="H222" s="31"/>
    </row>
    <row r="223" spans="6:8" ht="12.75" customHeight="1" x14ac:dyDescent="0.2">
      <c r="F223" s="31"/>
      <c r="G223" s="31"/>
      <c r="H223" s="31"/>
    </row>
    <row r="224" spans="6:8" ht="12.75" customHeight="1" x14ac:dyDescent="0.2">
      <c r="F224" s="31"/>
      <c r="G224" s="31"/>
      <c r="H224" s="31"/>
    </row>
    <row r="225" spans="6:8" ht="12.75" customHeight="1" x14ac:dyDescent="0.2">
      <c r="F225" s="31"/>
      <c r="G225" s="31"/>
      <c r="H225" s="31"/>
    </row>
    <row r="226" spans="6:8" ht="12.75" customHeight="1" x14ac:dyDescent="0.2">
      <c r="F226" s="31"/>
      <c r="G226" s="31"/>
      <c r="H226" s="31"/>
    </row>
    <row r="227" spans="6:8" ht="12.75" customHeight="1" x14ac:dyDescent="0.2">
      <c r="F227" s="31"/>
      <c r="G227" s="31"/>
      <c r="H227" s="31"/>
    </row>
    <row r="228" spans="6:8" ht="12.75" customHeight="1" x14ac:dyDescent="0.2">
      <c r="F228" s="31"/>
      <c r="G228" s="31"/>
      <c r="H228" s="31"/>
    </row>
    <row r="229" spans="6:8" ht="12.75" customHeight="1" x14ac:dyDescent="0.2">
      <c r="F229" s="31"/>
      <c r="G229" s="31"/>
      <c r="H229" s="31"/>
    </row>
    <row r="230" spans="6:8" ht="12.75" customHeight="1" x14ac:dyDescent="0.2">
      <c r="F230" s="31"/>
      <c r="G230" s="31"/>
      <c r="H230" s="31"/>
    </row>
    <row r="231" spans="6:8" ht="12.75" customHeight="1" x14ac:dyDescent="0.2">
      <c r="F231" s="31"/>
      <c r="G231" s="31"/>
      <c r="H231" s="31"/>
    </row>
    <row r="232" spans="6:8" ht="12.75" customHeight="1" x14ac:dyDescent="0.2">
      <c r="F232" s="31"/>
      <c r="G232" s="31"/>
      <c r="H232" s="31"/>
    </row>
    <row r="233" spans="6:8" ht="12.75" customHeight="1" x14ac:dyDescent="0.2">
      <c r="F233" s="31"/>
      <c r="G233" s="31"/>
      <c r="H233" s="31"/>
    </row>
    <row r="234" spans="6:8" ht="12.75" customHeight="1" x14ac:dyDescent="0.2">
      <c r="F234" s="31"/>
      <c r="G234" s="31"/>
      <c r="H234" s="31"/>
    </row>
    <row r="235" spans="6:8" ht="12.75" customHeight="1" x14ac:dyDescent="0.2">
      <c r="F235" s="31"/>
      <c r="G235" s="31"/>
      <c r="H235" s="31"/>
    </row>
    <row r="236" spans="6:8" ht="12.75" customHeight="1" x14ac:dyDescent="0.2">
      <c r="F236" s="31"/>
      <c r="G236" s="31"/>
      <c r="H236" s="31"/>
    </row>
    <row r="237" spans="6:8" ht="12.75" customHeight="1" x14ac:dyDescent="0.2">
      <c r="F237" s="31"/>
      <c r="G237" s="31"/>
      <c r="H237" s="31"/>
    </row>
    <row r="238" spans="6:8" ht="12.75" customHeight="1" x14ac:dyDescent="0.2">
      <c r="F238" s="31"/>
      <c r="G238" s="31"/>
      <c r="H238" s="31"/>
    </row>
    <row r="239" spans="6:8" ht="12.75" customHeight="1" x14ac:dyDescent="0.2">
      <c r="F239" s="31"/>
      <c r="G239" s="31"/>
      <c r="H239" s="31"/>
    </row>
    <row r="240" spans="6:8" ht="12.75" customHeight="1" x14ac:dyDescent="0.2">
      <c r="F240" s="31"/>
      <c r="G240" s="31"/>
      <c r="H240" s="31"/>
    </row>
    <row r="241" spans="6:8" ht="12.75" customHeight="1" x14ac:dyDescent="0.2">
      <c r="F241" s="31"/>
      <c r="G241" s="31"/>
      <c r="H241" s="31"/>
    </row>
    <row r="242" spans="6:8" ht="12.75" customHeight="1" x14ac:dyDescent="0.2">
      <c r="F242" s="31"/>
      <c r="G242" s="31"/>
      <c r="H242" s="31"/>
    </row>
    <row r="243" spans="6:8" ht="12.75" customHeight="1" x14ac:dyDescent="0.2">
      <c r="F243" s="31"/>
      <c r="G243" s="31"/>
      <c r="H243" s="31"/>
    </row>
    <row r="244" spans="6:8" ht="12.75" customHeight="1" x14ac:dyDescent="0.2">
      <c r="F244" s="31"/>
      <c r="G244" s="31"/>
      <c r="H244" s="31"/>
    </row>
    <row r="245" spans="6:8" ht="12.75" customHeight="1" x14ac:dyDescent="0.2">
      <c r="F245" s="31"/>
      <c r="G245" s="31"/>
      <c r="H245" s="31"/>
    </row>
    <row r="246" spans="6:8" ht="12.75" customHeight="1" x14ac:dyDescent="0.2">
      <c r="F246" s="31"/>
      <c r="G246" s="31"/>
      <c r="H246" s="31"/>
    </row>
    <row r="247" spans="6:8" ht="12.75" customHeight="1" x14ac:dyDescent="0.2">
      <c r="F247" s="31"/>
      <c r="G247" s="31"/>
      <c r="H247" s="31"/>
    </row>
    <row r="248" spans="6:8" ht="12.75" customHeight="1" x14ac:dyDescent="0.2">
      <c r="F248" s="31"/>
      <c r="G248" s="31"/>
      <c r="H248" s="31"/>
    </row>
    <row r="249" spans="6:8" ht="12.75" customHeight="1" x14ac:dyDescent="0.2">
      <c r="F249" s="31"/>
      <c r="G249" s="31"/>
      <c r="H249" s="31"/>
    </row>
    <row r="250" spans="6:8" ht="12.75" customHeight="1" x14ac:dyDescent="0.2">
      <c r="F250" s="31"/>
      <c r="G250" s="31"/>
      <c r="H250" s="31"/>
    </row>
    <row r="251" spans="6:8" ht="12.75" customHeight="1" x14ac:dyDescent="0.2">
      <c r="F251" s="31"/>
      <c r="G251" s="31"/>
      <c r="H251" s="31"/>
    </row>
    <row r="252" spans="6:8" ht="12.75" customHeight="1" x14ac:dyDescent="0.2">
      <c r="F252" s="31"/>
      <c r="G252" s="31"/>
      <c r="H252" s="31"/>
    </row>
    <row r="253" spans="6:8" ht="12.75" customHeight="1" x14ac:dyDescent="0.2">
      <c r="F253" s="31"/>
      <c r="G253" s="31"/>
      <c r="H253" s="31"/>
    </row>
    <row r="254" spans="6:8" ht="12.75" customHeight="1" x14ac:dyDescent="0.2">
      <c r="F254" s="31"/>
      <c r="G254" s="31"/>
      <c r="H254" s="31"/>
    </row>
    <row r="255" spans="6:8" ht="12.75" customHeight="1" x14ac:dyDescent="0.2">
      <c r="F255" s="31"/>
      <c r="G255" s="31"/>
      <c r="H255" s="31"/>
    </row>
    <row r="256" spans="6:8" ht="12.75" customHeight="1" x14ac:dyDescent="0.2">
      <c r="F256" s="31"/>
      <c r="G256" s="31"/>
      <c r="H256" s="31"/>
    </row>
    <row r="257" spans="6:8" ht="12.75" customHeight="1" x14ac:dyDescent="0.2">
      <c r="F257" s="31"/>
      <c r="G257" s="31"/>
      <c r="H257" s="31"/>
    </row>
    <row r="258" spans="6:8" ht="12.75" customHeight="1" x14ac:dyDescent="0.2">
      <c r="F258" s="31"/>
      <c r="G258" s="31"/>
      <c r="H258" s="31"/>
    </row>
    <row r="259" spans="6:8" ht="12.75" customHeight="1" x14ac:dyDescent="0.2">
      <c r="F259" s="31"/>
      <c r="G259" s="31"/>
      <c r="H259" s="31"/>
    </row>
    <row r="260" spans="6:8" ht="12.75" customHeight="1" x14ac:dyDescent="0.2">
      <c r="F260" s="31"/>
      <c r="G260" s="31"/>
      <c r="H260" s="31"/>
    </row>
    <row r="261" spans="6:8" ht="12.75" customHeight="1" x14ac:dyDescent="0.2">
      <c r="F261" s="31"/>
      <c r="G261" s="31"/>
      <c r="H261" s="31"/>
    </row>
    <row r="262" spans="6:8" ht="12.75" customHeight="1" x14ac:dyDescent="0.2">
      <c r="F262" s="31"/>
      <c r="G262" s="31"/>
      <c r="H262" s="31"/>
    </row>
    <row r="263" spans="6:8" ht="12.75" customHeight="1" x14ac:dyDescent="0.2">
      <c r="F263" s="31"/>
      <c r="G263" s="31"/>
      <c r="H263" s="31"/>
    </row>
    <row r="264" spans="6:8" ht="12.75" customHeight="1" x14ac:dyDescent="0.2">
      <c r="F264" s="31"/>
      <c r="G264" s="31"/>
      <c r="H264" s="31"/>
    </row>
    <row r="265" spans="6:8" ht="12.75" customHeight="1" x14ac:dyDescent="0.2">
      <c r="F265" s="31"/>
      <c r="G265" s="31"/>
      <c r="H265" s="31"/>
    </row>
    <row r="266" spans="6:8" ht="12.75" customHeight="1" x14ac:dyDescent="0.2">
      <c r="F266" s="31"/>
      <c r="G266" s="31"/>
      <c r="H266" s="31"/>
    </row>
    <row r="267" spans="6:8" ht="12.75" customHeight="1" x14ac:dyDescent="0.2">
      <c r="F267" s="31"/>
      <c r="G267" s="31"/>
      <c r="H267" s="31"/>
    </row>
    <row r="268" spans="6:8" ht="12.75" customHeight="1" x14ac:dyDescent="0.2">
      <c r="F268" s="31"/>
      <c r="G268" s="31"/>
      <c r="H268" s="31"/>
    </row>
    <row r="269" spans="6:8" ht="12.75" customHeight="1" x14ac:dyDescent="0.2">
      <c r="F269" s="31"/>
      <c r="G269" s="31"/>
      <c r="H269" s="31"/>
    </row>
    <row r="270" spans="6:8" ht="12.75" customHeight="1" x14ac:dyDescent="0.2">
      <c r="F270" s="31"/>
      <c r="G270" s="31"/>
      <c r="H270" s="31"/>
    </row>
    <row r="271" spans="6:8" ht="12.75" customHeight="1" x14ac:dyDescent="0.2">
      <c r="F271" s="31"/>
      <c r="G271" s="31"/>
      <c r="H271" s="31"/>
    </row>
    <row r="272" spans="6:8" ht="12.75" customHeight="1" x14ac:dyDescent="0.2">
      <c r="F272" s="31"/>
      <c r="G272" s="31"/>
      <c r="H272" s="31"/>
    </row>
    <row r="273" spans="6:8" ht="12.75" customHeight="1" x14ac:dyDescent="0.2">
      <c r="F273" s="31"/>
      <c r="G273" s="31"/>
      <c r="H273" s="31"/>
    </row>
    <row r="274" spans="6:8" ht="12.75" customHeight="1" x14ac:dyDescent="0.2">
      <c r="F274" s="31"/>
      <c r="G274" s="31"/>
      <c r="H274" s="31"/>
    </row>
    <row r="275" spans="6:8" ht="12.75" customHeight="1" x14ac:dyDescent="0.2">
      <c r="F275" s="31"/>
      <c r="G275" s="31"/>
      <c r="H275" s="31"/>
    </row>
    <row r="276" spans="6:8" ht="12.75" customHeight="1" x14ac:dyDescent="0.2">
      <c r="F276" s="31"/>
      <c r="G276" s="31"/>
      <c r="H276" s="31"/>
    </row>
    <row r="277" spans="6:8" ht="12.75" customHeight="1" x14ac:dyDescent="0.2">
      <c r="F277" s="31"/>
      <c r="G277" s="31"/>
      <c r="H277" s="31"/>
    </row>
    <row r="278" spans="6:8" ht="12.75" customHeight="1" x14ac:dyDescent="0.2">
      <c r="F278" s="31"/>
      <c r="G278" s="31"/>
      <c r="H278" s="31"/>
    </row>
    <row r="279" spans="6:8" ht="12.75" customHeight="1" x14ac:dyDescent="0.2">
      <c r="F279" s="31"/>
      <c r="G279" s="31"/>
      <c r="H279" s="31"/>
    </row>
    <row r="280" spans="6:8" ht="12.75" customHeight="1" x14ac:dyDescent="0.2">
      <c r="F280" s="31"/>
      <c r="G280" s="31"/>
      <c r="H280" s="31"/>
    </row>
    <row r="281" spans="6:8" ht="12.75" customHeight="1" x14ac:dyDescent="0.2">
      <c r="F281" s="31"/>
      <c r="G281" s="31"/>
      <c r="H281" s="31"/>
    </row>
    <row r="282" spans="6:8" ht="12.75" customHeight="1" x14ac:dyDescent="0.2">
      <c r="F282" s="31"/>
      <c r="G282" s="31"/>
      <c r="H282" s="31"/>
    </row>
    <row r="283" spans="6:8" ht="12.75" customHeight="1" x14ac:dyDescent="0.2">
      <c r="F283" s="31"/>
      <c r="G283" s="31"/>
      <c r="H283" s="31"/>
    </row>
    <row r="284" spans="6:8" ht="12.75" customHeight="1" x14ac:dyDescent="0.2">
      <c r="F284" s="31"/>
      <c r="G284" s="31"/>
      <c r="H284" s="31"/>
    </row>
    <row r="285" spans="6:8" ht="12.75" customHeight="1" x14ac:dyDescent="0.2">
      <c r="F285" s="31"/>
      <c r="G285" s="31"/>
      <c r="H285" s="31"/>
    </row>
    <row r="286" spans="6:8" ht="12.75" customHeight="1" x14ac:dyDescent="0.2">
      <c r="F286" s="31"/>
      <c r="G286" s="31"/>
      <c r="H286" s="31"/>
    </row>
    <row r="287" spans="6:8" ht="12.75" customHeight="1" x14ac:dyDescent="0.2">
      <c r="F287" s="31"/>
      <c r="G287" s="31"/>
      <c r="H287" s="31"/>
    </row>
    <row r="288" spans="6:8" ht="12.75" customHeight="1" x14ac:dyDescent="0.2">
      <c r="F288" s="31"/>
      <c r="G288" s="31"/>
      <c r="H288" s="31"/>
    </row>
    <row r="289" spans="6:8" ht="12.75" customHeight="1" x14ac:dyDescent="0.2">
      <c r="F289" s="31"/>
      <c r="G289" s="31"/>
      <c r="H289" s="31"/>
    </row>
    <row r="290" spans="6:8" ht="12.75" customHeight="1" x14ac:dyDescent="0.2">
      <c r="F290" s="31"/>
      <c r="G290" s="31"/>
      <c r="H290" s="31"/>
    </row>
    <row r="291" spans="6:8" ht="12.75" customHeight="1" x14ac:dyDescent="0.2">
      <c r="F291" s="31"/>
      <c r="G291" s="31"/>
      <c r="H291" s="31"/>
    </row>
    <row r="292" spans="6:8" ht="12.75" customHeight="1" x14ac:dyDescent="0.2">
      <c r="F292" s="31"/>
      <c r="G292" s="31"/>
      <c r="H292" s="31"/>
    </row>
    <row r="293" spans="6:8" ht="12.75" customHeight="1" x14ac:dyDescent="0.2">
      <c r="F293" s="31"/>
      <c r="G293" s="31"/>
      <c r="H293" s="31"/>
    </row>
    <row r="294" spans="6:8" ht="12.75" customHeight="1" x14ac:dyDescent="0.2">
      <c r="F294" s="31"/>
      <c r="G294" s="31"/>
      <c r="H294" s="31"/>
    </row>
    <row r="295" spans="6:8" ht="12.75" customHeight="1" x14ac:dyDescent="0.2">
      <c r="F295" s="31"/>
      <c r="G295" s="31"/>
      <c r="H295" s="31"/>
    </row>
    <row r="296" spans="6:8" ht="12.75" customHeight="1" x14ac:dyDescent="0.2">
      <c r="F296" s="31"/>
      <c r="G296" s="31"/>
      <c r="H296" s="31"/>
    </row>
    <row r="297" spans="6:8" ht="12.75" customHeight="1" x14ac:dyDescent="0.2">
      <c r="F297" s="31"/>
      <c r="G297" s="31"/>
      <c r="H297" s="31"/>
    </row>
    <row r="298" spans="6:8" ht="12.75" customHeight="1" x14ac:dyDescent="0.2">
      <c r="F298" s="31"/>
      <c r="G298" s="31"/>
      <c r="H298" s="31"/>
    </row>
    <row r="299" spans="6:8" ht="12.75" customHeight="1" x14ac:dyDescent="0.2">
      <c r="F299" s="31"/>
      <c r="G299" s="31"/>
      <c r="H299" s="31"/>
    </row>
    <row r="300" spans="6:8" ht="12.75" customHeight="1" x14ac:dyDescent="0.2">
      <c r="F300" s="31"/>
      <c r="G300" s="31"/>
      <c r="H300" s="31"/>
    </row>
    <row r="301" spans="6:8" ht="12.75" customHeight="1" x14ac:dyDescent="0.2">
      <c r="F301" s="31"/>
      <c r="G301" s="31"/>
      <c r="H301" s="31"/>
    </row>
    <row r="302" spans="6:8" ht="12.75" customHeight="1" x14ac:dyDescent="0.2">
      <c r="F302" s="31"/>
      <c r="G302" s="31"/>
      <c r="H302" s="31"/>
    </row>
    <row r="303" spans="6:8" ht="12.75" customHeight="1" x14ac:dyDescent="0.2">
      <c r="F303" s="31"/>
      <c r="G303" s="31"/>
      <c r="H303" s="31"/>
    </row>
    <row r="304" spans="6:8" ht="12.75" customHeight="1" x14ac:dyDescent="0.2">
      <c r="F304" s="31"/>
      <c r="G304" s="31"/>
      <c r="H304" s="31"/>
    </row>
    <row r="305" spans="6:8" ht="12.75" customHeight="1" x14ac:dyDescent="0.2">
      <c r="F305" s="31"/>
      <c r="G305" s="31"/>
      <c r="H305" s="31"/>
    </row>
    <row r="306" spans="6:8" ht="12.75" customHeight="1" x14ac:dyDescent="0.2">
      <c r="F306" s="31"/>
      <c r="G306" s="31"/>
      <c r="H306" s="31"/>
    </row>
    <row r="307" spans="6:8" ht="12.75" customHeight="1" x14ac:dyDescent="0.2">
      <c r="F307" s="31"/>
      <c r="G307" s="31"/>
      <c r="H307" s="31"/>
    </row>
    <row r="308" spans="6:8" ht="12.75" customHeight="1" x14ac:dyDescent="0.2">
      <c r="F308" s="31"/>
      <c r="G308" s="31"/>
      <c r="H308" s="31"/>
    </row>
    <row r="309" spans="6:8" ht="12.75" customHeight="1" x14ac:dyDescent="0.2">
      <c r="F309" s="31"/>
      <c r="G309" s="31"/>
      <c r="H309" s="31"/>
    </row>
    <row r="310" spans="6:8" ht="12.75" customHeight="1" x14ac:dyDescent="0.2">
      <c r="F310" s="31"/>
      <c r="G310" s="31"/>
      <c r="H310" s="31"/>
    </row>
    <row r="311" spans="6:8" ht="12.75" customHeight="1" x14ac:dyDescent="0.2">
      <c r="F311" s="31"/>
      <c r="G311" s="31"/>
      <c r="H311" s="31"/>
    </row>
    <row r="312" spans="6:8" ht="12.75" customHeight="1" x14ac:dyDescent="0.2">
      <c r="F312" s="31"/>
      <c r="G312" s="31"/>
      <c r="H312" s="31"/>
    </row>
    <row r="313" spans="6:8" ht="12.75" customHeight="1" x14ac:dyDescent="0.2">
      <c r="F313" s="31"/>
      <c r="G313" s="31"/>
      <c r="H313" s="31"/>
    </row>
    <row r="314" spans="6:8" ht="12.75" customHeight="1" x14ac:dyDescent="0.2">
      <c r="F314" s="31"/>
      <c r="G314" s="31"/>
      <c r="H314" s="31"/>
    </row>
    <row r="315" spans="6:8" ht="12.75" customHeight="1" x14ac:dyDescent="0.2">
      <c r="F315" s="31"/>
      <c r="G315" s="31"/>
      <c r="H315" s="31"/>
    </row>
    <row r="316" spans="6:8" ht="12.75" customHeight="1" x14ac:dyDescent="0.2">
      <c r="F316" s="31"/>
      <c r="G316" s="31"/>
      <c r="H316" s="31"/>
    </row>
    <row r="317" spans="6:8" ht="12.75" customHeight="1" x14ac:dyDescent="0.2">
      <c r="F317" s="31"/>
      <c r="G317" s="31"/>
      <c r="H317" s="31"/>
    </row>
    <row r="318" spans="6:8" ht="12.75" customHeight="1" x14ac:dyDescent="0.2">
      <c r="F318" s="31"/>
      <c r="G318" s="31"/>
      <c r="H318" s="31"/>
    </row>
    <row r="319" spans="6:8" ht="12.75" customHeight="1" x14ac:dyDescent="0.2">
      <c r="F319" s="31"/>
      <c r="G319" s="31"/>
      <c r="H319" s="31"/>
    </row>
    <row r="320" spans="6:8" ht="12.75" customHeight="1" x14ac:dyDescent="0.2">
      <c r="F320" s="31"/>
      <c r="G320" s="31"/>
      <c r="H320" s="31"/>
    </row>
    <row r="321" spans="6:8" ht="12.75" customHeight="1" x14ac:dyDescent="0.2">
      <c r="F321" s="31"/>
      <c r="G321" s="31"/>
      <c r="H321" s="31"/>
    </row>
    <row r="322" spans="6:8" ht="12.75" customHeight="1" x14ac:dyDescent="0.2">
      <c r="F322" s="31"/>
      <c r="G322" s="31"/>
      <c r="H322" s="31"/>
    </row>
    <row r="323" spans="6:8" ht="12.75" customHeight="1" x14ac:dyDescent="0.2">
      <c r="F323" s="31"/>
      <c r="G323" s="31"/>
      <c r="H323" s="31"/>
    </row>
    <row r="324" spans="6:8" ht="12.75" customHeight="1" x14ac:dyDescent="0.2">
      <c r="F324" s="31"/>
      <c r="G324" s="31"/>
      <c r="H324" s="31"/>
    </row>
    <row r="325" spans="6:8" ht="12.75" customHeight="1" x14ac:dyDescent="0.2">
      <c r="F325" s="31"/>
      <c r="G325" s="31"/>
      <c r="H325" s="31"/>
    </row>
    <row r="326" spans="6:8" ht="12.75" customHeight="1" x14ac:dyDescent="0.2">
      <c r="F326" s="31"/>
      <c r="G326" s="31"/>
      <c r="H326" s="31"/>
    </row>
    <row r="327" spans="6:8" ht="12.75" customHeight="1" x14ac:dyDescent="0.2">
      <c r="F327" s="31"/>
      <c r="G327" s="31"/>
      <c r="H327" s="31"/>
    </row>
    <row r="328" spans="6:8" ht="12.75" customHeight="1" x14ac:dyDescent="0.2">
      <c r="F328" s="31"/>
      <c r="G328" s="31"/>
      <c r="H328" s="31"/>
    </row>
    <row r="329" spans="6:8" ht="12.75" customHeight="1" x14ac:dyDescent="0.2">
      <c r="F329" s="31"/>
      <c r="G329" s="31"/>
      <c r="H329" s="31"/>
    </row>
    <row r="330" spans="6:8" ht="12.75" customHeight="1" x14ac:dyDescent="0.2">
      <c r="F330" s="31"/>
      <c r="G330" s="31"/>
      <c r="H330" s="31"/>
    </row>
    <row r="331" spans="6:8" ht="12.75" customHeight="1" x14ac:dyDescent="0.2">
      <c r="F331" s="31"/>
      <c r="G331" s="31"/>
      <c r="H331" s="31"/>
    </row>
    <row r="332" spans="6:8" ht="12.75" customHeight="1" x14ac:dyDescent="0.2">
      <c r="F332" s="31"/>
      <c r="G332" s="31"/>
      <c r="H332" s="31"/>
    </row>
    <row r="333" spans="6:8" ht="12.75" customHeight="1" x14ac:dyDescent="0.2">
      <c r="F333" s="31"/>
      <c r="G333" s="31"/>
      <c r="H333" s="31"/>
    </row>
    <row r="334" spans="6:8" ht="12.75" customHeight="1" x14ac:dyDescent="0.2">
      <c r="F334" s="31"/>
      <c r="G334" s="31"/>
      <c r="H334" s="31"/>
    </row>
    <row r="335" spans="6:8" ht="12.75" customHeight="1" x14ac:dyDescent="0.2">
      <c r="F335" s="31"/>
      <c r="G335" s="31"/>
      <c r="H335" s="31"/>
    </row>
    <row r="336" spans="6:8" ht="12.75" customHeight="1" x14ac:dyDescent="0.2">
      <c r="F336" s="31"/>
      <c r="G336" s="31"/>
      <c r="H336" s="31"/>
    </row>
    <row r="337" spans="6:8" ht="12.75" customHeight="1" x14ac:dyDescent="0.2">
      <c r="F337" s="31"/>
      <c r="G337" s="31"/>
      <c r="H337" s="31"/>
    </row>
    <row r="338" spans="6:8" ht="12.75" customHeight="1" x14ac:dyDescent="0.2">
      <c r="F338" s="31"/>
      <c r="G338" s="31"/>
      <c r="H338" s="31"/>
    </row>
    <row r="339" spans="6:8" ht="12.75" customHeight="1" x14ac:dyDescent="0.2">
      <c r="F339" s="31"/>
      <c r="G339" s="31"/>
      <c r="H339" s="31"/>
    </row>
    <row r="340" spans="6:8" ht="12.75" customHeight="1" x14ac:dyDescent="0.2">
      <c r="F340" s="31"/>
      <c r="G340" s="31"/>
      <c r="H340" s="31"/>
    </row>
    <row r="341" spans="6:8" ht="12.75" customHeight="1" x14ac:dyDescent="0.2">
      <c r="F341" s="31"/>
      <c r="G341" s="31"/>
      <c r="H341" s="31"/>
    </row>
    <row r="342" spans="6:8" ht="12.75" customHeight="1" x14ac:dyDescent="0.2">
      <c r="F342" s="31"/>
      <c r="G342" s="31"/>
      <c r="H342" s="31"/>
    </row>
    <row r="343" spans="6:8" ht="12.75" customHeight="1" x14ac:dyDescent="0.2">
      <c r="F343" s="31"/>
      <c r="G343" s="31"/>
      <c r="H343" s="31"/>
    </row>
    <row r="344" spans="6:8" ht="12.75" customHeight="1" x14ac:dyDescent="0.2">
      <c r="F344" s="31"/>
      <c r="G344" s="31"/>
      <c r="H344" s="31"/>
    </row>
    <row r="345" spans="6:8" ht="12.75" customHeight="1" x14ac:dyDescent="0.2">
      <c r="F345" s="31"/>
      <c r="G345" s="31"/>
      <c r="H345" s="31"/>
    </row>
    <row r="346" spans="6:8" ht="12.75" customHeight="1" x14ac:dyDescent="0.2">
      <c r="F346" s="31"/>
      <c r="G346" s="31"/>
      <c r="H346" s="31"/>
    </row>
    <row r="347" spans="6:8" ht="12.75" customHeight="1" x14ac:dyDescent="0.2">
      <c r="F347" s="31"/>
      <c r="G347" s="31"/>
      <c r="H347" s="31"/>
    </row>
    <row r="348" spans="6:8" ht="12.75" customHeight="1" x14ac:dyDescent="0.2">
      <c r="F348" s="31"/>
      <c r="G348" s="31"/>
      <c r="H348" s="31"/>
    </row>
    <row r="349" spans="6:8" ht="12.75" customHeight="1" x14ac:dyDescent="0.2">
      <c r="F349" s="31"/>
      <c r="G349" s="31"/>
      <c r="H349" s="31"/>
    </row>
    <row r="350" spans="6:8" ht="12.75" customHeight="1" x14ac:dyDescent="0.2">
      <c r="F350" s="31"/>
      <c r="G350" s="31"/>
      <c r="H350" s="31"/>
    </row>
    <row r="351" spans="6:8" ht="12.75" customHeight="1" x14ac:dyDescent="0.2">
      <c r="F351" s="31"/>
      <c r="G351" s="31"/>
      <c r="H351" s="31"/>
    </row>
    <row r="352" spans="6:8" ht="12.75" customHeight="1" x14ac:dyDescent="0.2">
      <c r="F352" s="31"/>
      <c r="G352" s="31"/>
      <c r="H352" s="31"/>
    </row>
    <row r="353" spans="6:8" ht="12.75" customHeight="1" x14ac:dyDescent="0.2">
      <c r="F353" s="31"/>
      <c r="G353" s="31"/>
      <c r="H353" s="31"/>
    </row>
    <row r="354" spans="6:8" ht="12.75" customHeight="1" x14ac:dyDescent="0.2">
      <c r="F354" s="31"/>
      <c r="G354" s="31"/>
      <c r="H354" s="31"/>
    </row>
    <row r="355" spans="6:8" ht="12.75" customHeight="1" x14ac:dyDescent="0.2">
      <c r="F355" s="31"/>
      <c r="G355" s="31"/>
      <c r="H355" s="31"/>
    </row>
    <row r="356" spans="6:8" ht="12.75" customHeight="1" x14ac:dyDescent="0.2">
      <c r="F356" s="31"/>
      <c r="G356" s="31"/>
      <c r="H356" s="31"/>
    </row>
    <row r="357" spans="6:8" ht="12.75" customHeight="1" x14ac:dyDescent="0.2">
      <c r="F357" s="31"/>
      <c r="G357" s="31"/>
      <c r="H357" s="31"/>
    </row>
    <row r="358" spans="6:8" ht="12.75" customHeight="1" x14ac:dyDescent="0.2">
      <c r="F358" s="31"/>
      <c r="G358" s="31"/>
      <c r="H358" s="31"/>
    </row>
    <row r="359" spans="6:8" ht="12.75" customHeight="1" x14ac:dyDescent="0.2">
      <c r="F359" s="31"/>
      <c r="G359" s="31"/>
      <c r="H359" s="31"/>
    </row>
    <row r="360" spans="6:8" ht="12.75" customHeight="1" x14ac:dyDescent="0.2">
      <c r="F360" s="31"/>
      <c r="G360" s="31"/>
      <c r="H360" s="31"/>
    </row>
    <row r="361" spans="6:8" ht="12.75" customHeight="1" x14ac:dyDescent="0.2">
      <c r="F361" s="31"/>
      <c r="G361" s="31"/>
      <c r="H361" s="31"/>
    </row>
    <row r="362" spans="6:8" ht="12.75" customHeight="1" x14ac:dyDescent="0.2">
      <c r="F362" s="31"/>
      <c r="G362" s="31"/>
      <c r="H362" s="31"/>
    </row>
    <row r="363" spans="6:8" ht="12.75" customHeight="1" x14ac:dyDescent="0.2">
      <c r="F363" s="31"/>
      <c r="G363" s="31"/>
      <c r="H363" s="31"/>
    </row>
    <row r="364" spans="6:8" ht="12.75" customHeight="1" x14ac:dyDescent="0.2">
      <c r="F364" s="31"/>
      <c r="G364" s="31"/>
      <c r="H364" s="31"/>
    </row>
    <row r="365" spans="6:8" ht="12.75" customHeight="1" x14ac:dyDescent="0.2">
      <c r="F365" s="31"/>
      <c r="G365" s="31"/>
      <c r="H365" s="31"/>
    </row>
    <row r="366" spans="6:8" ht="12.75" customHeight="1" x14ac:dyDescent="0.2">
      <c r="F366" s="31"/>
      <c r="G366" s="31"/>
      <c r="H366" s="31"/>
    </row>
    <row r="367" spans="6:8" ht="12.75" customHeight="1" x14ac:dyDescent="0.2">
      <c r="F367" s="31"/>
      <c r="G367" s="31"/>
      <c r="H367" s="31"/>
    </row>
    <row r="368" spans="6:8" ht="12.75" customHeight="1" x14ac:dyDescent="0.2">
      <c r="F368" s="31"/>
      <c r="G368" s="31"/>
      <c r="H368" s="31"/>
    </row>
    <row r="369" spans="6:8" ht="12.75" customHeight="1" x14ac:dyDescent="0.2">
      <c r="F369" s="31"/>
      <c r="G369" s="31"/>
      <c r="H369" s="31"/>
    </row>
    <row r="370" spans="6:8" ht="12.75" customHeight="1" x14ac:dyDescent="0.2">
      <c r="F370" s="31"/>
      <c r="G370" s="31"/>
      <c r="H370" s="31"/>
    </row>
    <row r="371" spans="6:8" ht="12.75" customHeight="1" x14ac:dyDescent="0.2">
      <c r="F371" s="31"/>
      <c r="G371" s="31"/>
      <c r="H371" s="31"/>
    </row>
    <row r="372" spans="6:8" ht="12.75" customHeight="1" x14ac:dyDescent="0.2">
      <c r="F372" s="31"/>
      <c r="G372" s="31"/>
      <c r="H372" s="31"/>
    </row>
    <row r="373" spans="6:8" ht="12.75" customHeight="1" x14ac:dyDescent="0.2">
      <c r="F373" s="31"/>
      <c r="G373" s="31"/>
      <c r="H373" s="31"/>
    </row>
    <row r="374" spans="6:8" ht="12.75" customHeight="1" x14ac:dyDescent="0.2">
      <c r="F374" s="31"/>
      <c r="G374" s="31"/>
      <c r="H374" s="31"/>
    </row>
    <row r="375" spans="6:8" ht="12.75" customHeight="1" x14ac:dyDescent="0.2">
      <c r="F375" s="31"/>
      <c r="G375" s="31"/>
      <c r="H375" s="31"/>
    </row>
    <row r="376" spans="6:8" ht="12.75" customHeight="1" x14ac:dyDescent="0.2">
      <c r="F376" s="31"/>
      <c r="G376" s="31"/>
      <c r="H376" s="31"/>
    </row>
    <row r="377" spans="6:8" ht="12.75" customHeight="1" x14ac:dyDescent="0.2">
      <c r="F377" s="31"/>
      <c r="G377" s="31"/>
      <c r="H377" s="31"/>
    </row>
    <row r="378" spans="6:8" ht="12.75" customHeight="1" x14ac:dyDescent="0.2">
      <c r="F378" s="31"/>
      <c r="G378" s="31"/>
      <c r="H378" s="31"/>
    </row>
    <row r="379" spans="6:8" ht="12.75" customHeight="1" x14ac:dyDescent="0.2">
      <c r="F379" s="31"/>
      <c r="G379" s="31"/>
      <c r="H379" s="31"/>
    </row>
    <row r="380" spans="6:8" ht="12.75" customHeight="1" x14ac:dyDescent="0.2">
      <c r="F380" s="31"/>
      <c r="G380" s="31"/>
      <c r="H380" s="31"/>
    </row>
    <row r="381" spans="6:8" ht="12.75" customHeight="1" x14ac:dyDescent="0.2">
      <c r="F381" s="31"/>
      <c r="G381" s="31"/>
      <c r="H381" s="31"/>
    </row>
    <row r="382" spans="6:8" ht="12.75" customHeight="1" x14ac:dyDescent="0.2">
      <c r="F382" s="31"/>
      <c r="G382" s="31"/>
      <c r="H382" s="31"/>
    </row>
    <row r="383" spans="6:8" ht="12.75" customHeight="1" x14ac:dyDescent="0.2">
      <c r="F383" s="31"/>
      <c r="G383" s="31"/>
      <c r="H383" s="31"/>
    </row>
    <row r="384" spans="6:8" ht="12.75" customHeight="1" x14ac:dyDescent="0.2">
      <c r="F384" s="31"/>
      <c r="G384" s="31"/>
      <c r="H384" s="31"/>
    </row>
    <row r="385" spans="6:8" ht="12.75" customHeight="1" x14ac:dyDescent="0.2">
      <c r="F385" s="31"/>
      <c r="G385" s="31"/>
      <c r="H385" s="31"/>
    </row>
    <row r="386" spans="6:8" ht="12.75" customHeight="1" x14ac:dyDescent="0.2">
      <c r="F386" s="31"/>
      <c r="G386" s="31"/>
      <c r="H386" s="31"/>
    </row>
    <row r="387" spans="6:8" ht="12.75" customHeight="1" x14ac:dyDescent="0.2">
      <c r="F387" s="31"/>
      <c r="G387" s="31"/>
      <c r="H387" s="31"/>
    </row>
    <row r="388" spans="6:8" ht="12.75" customHeight="1" x14ac:dyDescent="0.2">
      <c r="F388" s="31"/>
      <c r="G388" s="31"/>
      <c r="H388" s="31"/>
    </row>
    <row r="389" spans="6:8" ht="12.75" customHeight="1" x14ac:dyDescent="0.2">
      <c r="F389" s="31"/>
      <c r="G389" s="31"/>
      <c r="H389" s="31"/>
    </row>
    <row r="390" spans="6:8" ht="12.75" customHeight="1" x14ac:dyDescent="0.2">
      <c r="F390" s="31"/>
      <c r="G390" s="31"/>
      <c r="H390" s="31"/>
    </row>
    <row r="391" spans="6:8" ht="12.75" customHeight="1" x14ac:dyDescent="0.2">
      <c r="F391" s="31"/>
      <c r="G391" s="31"/>
      <c r="H391" s="31"/>
    </row>
    <row r="392" spans="6:8" ht="12.75" customHeight="1" x14ac:dyDescent="0.2">
      <c r="F392" s="31"/>
      <c r="G392" s="31"/>
      <c r="H392" s="31"/>
    </row>
    <row r="393" spans="6:8" ht="12.75" customHeight="1" x14ac:dyDescent="0.2">
      <c r="F393" s="31"/>
      <c r="G393" s="31"/>
      <c r="H393" s="31"/>
    </row>
    <row r="394" spans="6:8" ht="12.75" customHeight="1" x14ac:dyDescent="0.2">
      <c r="F394" s="31"/>
      <c r="G394" s="31"/>
      <c r="H394" s="31"/>
    </row>
    <row r="395" spans="6:8" ht="12.75" customHeight="1" x14ac:dyDescent="0.2">
      <c r="F395" s="31"/>
      <c r="G395" s="31"/>
      <c r="H395" s="31"/>
    </row>
    <row r="396" spans="6:8" ht="12.75" customHeight="1" x14ac:dyDescent="0.2">
      <c r="F396" s="31"/>
      <c r="G396" s="31"/>
      <c r="H396" s="31"/>
    </row>
    <row r="397" spans="6:8" ht="12.75" customHeight="1" x14ac:dyDescent="0.2">
      <c r="F397" s="31"/>
      <c r="G397" s="31"/>
      <c r="H397" s="31"/>
    </row>
    <row r="398" spans="6:8" ht="12.75" customHeight="1" x14ac:dyDescent="0.2">
      <c r="F398" s="31"/>
      <c r="G398" s="31"/>
      <c r="H398" s="31"/>
    </row>
    <row r="399" spans="6:8" ht="12.75" customHeight="1" x14ac:dyDescent="0.2">
      <c r="F399" s="31"/>
      <c r="G399" s="31"/>
      <c r="H399" s="31"/>
    </row>
    <row r="400" spans="6:8" ht="12.75" customHeight="1" x14ac:dyDescent="0.2">
      <c r="F400" s="31"/>
      <c r="G400" s="31"/>
      <c r="H400" s="31"/>
    </row>
    <row r="401" spans="6:8" ht="12.75" customHeight="1" x14ac:dyDescent="0.2">
      <c r="F401" s="31"/>
      <c r="G401" s="31"/>
      <c r="H401" s="31"/>
    </row>
    <row r="402" spans="6:8" ht="12.75" customHeight="1" x14ac:dyDescent="0.2">
      <c r="F402" s="31"/>
      <c r="G402" s="31"/>
      <c r="H402" s="31"/>
    </row>
    <row r="403" spans="6:8" ht="12.75" customHeight="1" x14ac:dyDescent="0.2">
      <c r="F403" s="31"/>
      <c r="G403" s="31"/>
      <c r="H403" s="31"/>
    </row>
    <row r="404" spans="6:8" ht="12.75" customHeight="1" x14ac:dyDescent="0.2">
      <c r="F404" s="31"/>
      <c r="G404" s="31"/>
      <c r="H404" s="31"/>
    </row>
    <row r="405" spans="6:8" ht="12.75" customHeight="1" x14ac:dyDescent="0.2">
      <c r="F405" s="31"/>
      <c r="G405" s="31"/>
      <c r="H405" s="31"/>
    </row>
    <row r="406" spans="6:8" ht="12.75" customHeight="1" x14ac:dyDescent="0.2">
      <c r="F406" s="31"/>
      <c r="G406" s="31"/>
      <c r="H406" s="31"/>
    </row>
    <row r="407" spans="6:8" ht="12.75" customHeight="1" x14ac:dyDescent="0.2">
      <c r="F407" s="31"/>
      <c r="G407" s="31"/>
      <c r="H407" s="31"/>
    </row>
    <row r="408" spans="6:8" ht="12.75" customHeight="1" x14ac:dyDescent="0.2">
      <c r="F408" s="31"/>
      <c r="G408" s="31"/>
      <c r="H408" s="31"/>
    </row>
    <row r="409" spans="6:8" ht="12.75" customHeight="1" x14ac:dyDescent="0.2">
      <c r="F409" s="31"/>
      <c r="G409" s="31"/>
      <c r="H409" s="31"/>
    </row>
    <row r="410" spans="6:8" ht="12.75" customHeight="1" x14ac:dyDescent="0.2">
      <c r="F410" s="31"/>
      <c r="G410" s="31"/>
      <c r="H410" s="31"/>
    </row>
    <row r="411" spans="6:8" ht="12.75" customHeight="1" x14ac:dyDescent="0.2">
      <c r="F411" s="31"/>
      <c r="G411" s="31"/>
      <c r="H411" s="31"/>
    </row>
    <row r="412" spans="6:8" ht="12.75" customHeight="1" x14ac:dyDescent="0.2">
      <c r="F412" s="31"/>
      <c r="G412" s="31"/>
      <c r="H412" s="31"/>
    </row>
    <row r="413" spans="6:8" ht="12.75" customHeight="1" x14ac:dyDescent="0.2">
      <c r="F413" s="31"/>
      <c r="G413" s="31"/>
      <c r="H413" s="31"/>
    </row>
    <row r="414" spans="6:8" ht="12.75" customHeight="1" x14ac:dyDescent="0.2">
      <c r="F414" s="31"/>
      <c r="G414" s="31"/>
      <c r="H414" s="31"/>
    </row>
    <row r="415" spans="6:8" ht="12.75" customHeight="1" x14ac:dyDescent="0.2">
      <c r="F415" s="31"/>
      <c r="G415" s="31"/>
      <c r="H415" s="31"/>
    </row>
    <row r="416" spans="6:8" ht="12.75" customHeight="1" x14ac:dyDescent="0.2">
      <c r="F416" s="31"/>
      <c r="G416" s="31"/>
      <c r="H416" s="31"/>
    </row>
    <row r="417" spans="6:8" ht="12.75" customHeight="1" x14ac:dyDescent="0.2">
      <c r="F417" s="31"/>
      <c r="G417" s="31"/>
      <c r="H417" s="31"/>
    </row>
    <row r="418" spans="6:8" ht="12.75" customHeight="1" x14ac:dyDescent="0.2">
      <c r="F418" s="31"/>
      <c r="G418" s="31"/>
      <c r="H418" s="31"/>
    </row>
    <row r="419" spans="6:8" ht="12.75" customHeight="1" x14ac:dyDescent="0.2">
      <c r="F419" s="31"/>
      <c r="G419" s="31"/>
      <c r="H419" s="31"/>
    </row>
    <row r="420" spans="6:8" ht="12.75" customHeight="1" x14ac:dyDescent="0.2">
      <c r="F420" s="31"/>
      <c r="G420" s="31"/>
      <c r="H420" s="31"/>
    </row>
    <row r="421" spans="6:8" ht="12.75" customHeight="1" x14ac:dyDescent="0.2">
      <c r="F421" s="31"/>
      <c r="G421" s="31"/>
      <c r="H421" s="31"/>
    </row>
    <row r="422" spans="6:8" ht="12.75" customHeight="1" x14ac:dyDescent="0.2">
      <c r="F422" s="31"/>
      <c r="G422" s="31"/>
      <c r="H422" s="31"/>
    </row>
    <row r="423" spans="6:8" ht="12.75" customHeight="1" x14ac:dyDescent="0.2">
      <c r="F423" s="31"/>
      <c r="G423" s="31"/>
      <c r="H423" s="31"/>
    </row>
    <row r="424" spans="6:8" ht="12.75" customHeight="1" x14ac:dyDescent="0.2">
      <c r="F424" s="31"/>
      <c r="G424" s="31"/>
      <c r="H424" s="31"/>
    </row>
    <row r="425" spans="6:8" ht="12.75" customHeight="1" x14ac:dyDescent="0.2">
      <c r="F425" s="31"/>
      <c r="G425" s="31"/>
      <c r="H425" s="31"/>
    </row>
    <row r="426" spans="6:8" ht="12.75" customHeight="1" x14ac:dyDescent="0.2">
      <c r="F426" s="31"/>
      <c r="G426" s="31"/>
      <c r="H426" s="31"/>
    </row>
    <row r="427" spans="6:8" ht="12.75" customHeight="1" x14ac:dyDescent="0.2">
      <c r="F427" s="31"/>
      <c r="G427" s="31"/>
      <c r="H427" s="31"/>
    </row>
    <row r="428" spans="6:8" ht="12.75" customHeight="1" x14ac:dyDescent="0.2">
      <c r="F428" s="31"/>
      <c r="G428" s="31"/>
      <c r="H428" s="31"/>
    </row>
    <row r="429" spans="6:8" ht="12.75" customHeight="1" x14ac:dyDescent="0.2">
      <c r="F429" s="31"/>
      <c r="G429" s="31"/>
      <c r="H429" s="31"/>
    </row>
    <row r="430" spans="6:8" ht="12.75" customHeight="1" x14ac:dyDescent="0.2">
      <c r="F430" s="31"/>
      <c r="G430" s="31"/>
      <c r="H430" s="31"/>
    </row>
    <row r="431" spans="6:8" ht="12.75" customHeight="1" x14ac:dyDescent="0.2">
      <c r="F431" s="31"/>
      <c r="G431" s="31"/>
      <c r="H431" s="31"/>
    </row>
    <row r="432" spans="6:8" ht="12.75" customHeight="1" x14ac:dyDescent="0.2">
      <c r="F432" s="31"/>
      <c r="G432" s="31"/>
      <c r="H432" s="31"/>
    </row>
    <row r="433" spans="6:8" ht="12.75" customHeight="1" x14ac:dyDescent="0.2">
      <c r="F433" s="31"/>
      <c r="G433" s="31"/>
      <c r="H433" s="31"/>
    </row>
    <row r="434" spans="6:8" ht="12.75" customHeight="1" x14ac:dyDescent="0.2">
      <c r="F434" s="31"/>
      <c r="G434" s="31"/>
      <c r="H434" s="31"/>
    </row>
    <row r="435" spans="6:8" ht="12.75" customHeight="1" x14ac:dyDescent="0.2">
      <c r="F435" s="31"/>
      <c r="G435" s="31"/>
      <c r="H435" s="31"/>
    </row>
    <row r="436" spans="6:8" ht="12.75" customHeight="1" x14ac:dyDescent="0.2">
      <c r="F436" s="31"/>
      <c r="G436" s="31"/>
      <c r="H436" s="31"/>
    </row>
    <row r="437" spans="6:8" ht="12.75" customHeight="1" x14ac:dyDescent="0.2">
      <c r="F437" s="31"/>
      <c r="G437" s="31"/>
      <c r="H437" s="31"/>
    </row>
    <row r="438" spans="6:8" ht="12.75" customHeight="1" x14ac:dyDescent="0.2">
      <c r="F438" s="31"/>
      <c r="G438" s="31"/>
      <c r="H438" s="31"/>
    </row>
    <row r="439" spans="6:8" ht="12.75" customHeight="1" x14ac:dyDescent="0.2">
      <c r="F439" s="31"/>
      <c r="G439" s="31"/>
      <c r="H439" s="31"/>
    </row>
    <row r="440" spans="6:8" ht="12.75" customHeight="1" x14ac:dyDescent="0.2">
      <c r="F440" s="31"/>
      <c r="G440" s="31"/>
      <c r="H440" s="31"/>
    </row>
    <row r="441" spans="6:8" ht="12.75" customHeight="1" x14ac:dyDescent="0.2">
      <c r="F441" s="31"/>
      <c r="G441" s="31"/>
      <c r="H441" s="31"/>
    </row>
    <row r="442" spans="6:8" ht="12.75" customHeight="1" x14ac:dyDescent="0.2">
      <c r="F442" s="31"/>
      <c r="G442" s="31"/>
      <c r="H442" s="31"/>
    </row>
    <row r="443" spans="6:8" ht="12.75" customHeight="1" x14ac:dyDescent="0.2">
      <c r="F443" s="31"/>
      <c r="G443" s="31"/>
      <c r="H443" s="31"/>
    </row>
    <row r="444" spans="6:8" ht="12.75" customHeight="1" x14ac:dyDescent="0.2">
      <c r="F444" s="31"/>
      <c r="G444" s="31"/>
      <c r="H444" s="31"/>
    </row>
    <row r="445" spans="6:8" ht="12.75" customHeight="1" x14ac:dyDescent="0.2">
      <c r="F445" s="31"/>
      <c r="G445" s="31"/>
      <c r="H445" s="31"/>
    </row>
    <row r="446" spans="6:8" ht="12.75" customHeight="1" x14ac:dyDescent="0.2">
      <c r="F446" s="31"/>
      <c r="G446" s="31"/>
      <c r="H446" s="31"/>
    </row>
    <row r="447" spans="6:8" ht="12.75" customHeight="1" x14ac:dyDescent="0.2">
      <c r="F447" s="31"/>
      <c r="G447" s="31"/>
      <c r="H447" s="31"/>
    </row>
    <row r="448" spans="6:8" ht="12.75" customHeight="1" x14ac:dyDescent="0.2">
      <c r="F448" s="31"/>
      <c r="G448" s="31"/>
      <c r="H448" s="31"/>
    </row>
    <row r="449" spans="6:8" ht="12.75" customHeight="1" x14ac:dyDescent="0.2">
      <c r="F449" s="31"/>
      <c r="G449" s="31"/>
      <c r="H449" s="31"/>
    </row>
    <row r="450" spans="6:8" ht="12.75" customHeight="1" x14ac:dyDescent="0.2">
      <c r="F450" s="31"/>
      <c r="G450" s="31"/>
      <c r="H450" s="31"/>
    </row>
    <row r="451" spans="6:8" ht="12.75" customHeight="1" x14ac:dyDescent="0.2">
      <c r="F451" s="31"/>
      <c r="G451" s="31"/>
      <c r="H451" s="31"/>
    </row>
    <row r="452" spans="6:8" ht="12.75" customHeight="1" x14ac:dyDescent="0.2">
      <c r="F452" s="31"/>
      <c r="G452" s="31"/>
      <c r="H452" s="31"/>
    </row>
    <row r="453" spans="6:8" ht="12.75" customHeight="1" x14ac:dyDescent="0.2">
      <c r="F453" s="31"/>
      <c r="G453" s="31"/>
      <c r="H453" s="31"/>
    </row>
    <row r="454" spans="6:8" ht="12.75" customHeight="1" x14ac:dyDescent="0.2">
      <c r="F454" s="31"/>
      <c r="G454" s="31"/>
      <c r="H454" s="31"/>
    </row>
    <row r="455" spans="6:8" ht="12.75" customHeight="1" x14ac:dyDescent="0.2">
      <c r="F455" s="31"/>
      <c r="G455" s="31"/>
      <c r="H455" s="31"/>
    </row>
    <row r="456" spans="6:8" ht="12.75" customHeight="1" x14ac:dyDescent="0.2">
      <c r="F456" s="31"/>
      <c r="G456" s="31"/>
      <c r="H456" s="31"/>
    </row>
    <row r="457" spans="6:8" ht="12.75" customHeight="1" x14ac:dyDescent="0.2">
      <c r="F457" s="31"/>
      <c r="G457" s="31"/>
      <c r="H457" s="31"/>
    </row>
    <row r="458" spans="6:8" ht="12.75" customHeight="1" x14ac:dyDescent="0.2">
      <c r="F458" s="31"/>
      <c r="G458" s="31"/>
      <c r="H458" s="31"/>
    </row>
    <row r="459" spans="6:8" ht="12.75" customHeight="1" x14ac:dyDescent="0.2">
      <c r="F459" s="31"/>
      <c r="G459" s="31"/>
      <c r="H459" s="31"/>
    </row>
    <row r="460" spans="6:8" ht="12.75" customHeight="1" x14ac:dyDescent="0.2">
      <c r="F460" s="31"/>
      <c r="G460" s="31"/>
      <c r="H460" s="31"/>
    </row>
    <row r="461" spans="6:8" ht="12.75" customHeight="1" x14ac:dyDescent="0.2">
      <c r="F461" s="31"/>
      <c r="G461" s="31"/>
      <c r="H461" s="31"/>
    </row>
    <row r="462" spans="6:8" ht="12.75" customHeight="1" x14ac:dyDescent="0.2">
      <c r="F462" s="31"/>
      <c r="G462" s="31"/>
      <c r="H462" s="31"/>
    </row>
    <row r="463" spans="6:8" ht="12.75" customHeight="1" x14ac:dyDescent="0.2">
      <c r="F463" s="31"/>
      <c r="G463" s="31"/>
      <c r="H463" s="31"/>
    </row>
    <row r="464" spans="6:8" ht="12.75" customHeight="1" x14ac:dyDescent="0.2">
      <c r="F464" s="31"/>
      <c r="G464" s="31"/>
      <c r="H464" s="31"/>
    </row>
    <row r="465" spans="6:8" ht="12.75" customHeight="1" x14ac:dyDescent="0.2">
      <c r="F465" s="31"/>
      <c r="G465" s="31"/>
      <c r="H465" s="31"/>
    </row>
    <row r="466" spans="6:8" ht="12.75" customHeight="1" x14ac:dyDescent="0.2">
      <c r="F466" s="31"/>
      <c r="G466" s="31"/>
      <c r="H466" s="31"/>
    </row>
    <row r="467" spans="6:8" ht="12.75" customHeight="1" x14ac:dyDescent="0.2">
      <c r="F467" s="31"/>
      <c r="G467" s="31"/>
      <c r="H467" s="31"/>
    </row>
    <row r="468" spans="6:8" ht="12.75" customHeight="1" x14ac:dyDescent="0.2">
      <c r="F468" s="31"/>
      <c r="G468" s="31"/>
      <c r="H468" s="31"/>
    </row>
    <row r="469" spans="6:8" ht="12.75" customHeight="1" x14ac:dyDescent="0.2">
      <c r="F469" s="31"/>
      <c r="G469" s="31"/>
      <c r="H469" s="31"/>
    </row>
    <row r="470" spans="6:8" ht="12.75" customHeight="1" x14ac:dyDescent="0.2">
      <c r="F470" s="31"/>
      <c r="G470" s="31"/>
      <c r="H470" s="31"/>
    </row>
    <row r="471" spans="6:8" ht="12.75" customHeight="1" x14ac:dyDescent="0.2">
      <c r="F471" s="31"/>
      <c r="G471" s="31"/>
      <c r="H471" s="31"/>
    </row>
    <row r="472" spans="6:8" ht="12.75" customHeight="1" x14ac:dyDescent="0.2">
      <c r="F472" s="31"/>
      <c r="G472" s="31"/>
      <c r="H472" s="31"/>
    </row>
    <row r="473" spans="6:8" ht="12.75" customHeight="1" x14ac:dyDescent="0.2">
      <c r="F473" s="31"/>
      <c r="G473" s="31"/>
      <c r="H473" s="31"/>
    </row>
    <row r="474" spans="6:8" ht="12.75" customHeight="1" x14ac:dyDescent="0.2">
      <c r="F474" s="31"/>
      <c r="G474" s="31"/>
      <c r="H474" s="31"/>
    </row>
    <row r="475" spans="6:8" ht="12.75" customHeight="1" x14ac:dyDescent="0.2">
      <c r="F475" s="31"/>
      <c r="G475" s="31"/>
      <c r="H475" s="31"/>
    </row>
    <row r="476" spans="6:8" ht="12.75" customHeight="1" x14ac:dyDescent="0.2">
      <c r="F476" s="31"/>
      <c r="G476" s="31"/>
      <c r="H476" s="31"/>
    </row>
    <row r="477" spans="6:8" ht="12.75" customHeight="1" x14ac:dyDescent="0.2">
      <c r="F477" s="31"/>
      <c r="G477" s="31"/>
      <c r="H477" s="31"/>
    </row>
    <row r="478" spans="6:8" ht="12.75" customHeight="1" x14ac:dyDescent="0.2">
      <c r="F478" s="31"/>
      <c r="G478" s="31"/>
      <c r="H478" s="31"/>
    </row>
    <row r="479" spans="6:8" ht="12.75" customHeight="1" x14ac:dyDescent="0.2">
      <c r="F479" s="31"/>
      <c r="G479" s="31"/>
      <c r="H479" s="31"/>
    </row>
    <row r="480" spans="6:8" ht="12.75" customHeight="1" x14ac:dyDescent="0.2">
      <c r="F480" s="31"/>
      <c r="G480" s="31"/>
      <c r="H480" s="31"/>
    </row>
    <row r="481" spans="6:8" ht="12.75" customHeight="1" x14ac:dyDescent="0.2">
      <c r="F481" s="31"/>
      <c r="G481" s="31"/>
      <c r="H481" s="31"/>
    </row>
    <row r="482" spans="6:8" ht="12.75" customHeight="1" x14ac:dyDescent="0.2">
      <c r="F482" s="31"/>
      <c r="G482" s="31"/>
      <c r="H482" s="31"/>
    </row>
    <row r="483" spans="6:8" ht="12.75" customHeight="1" x14ac:dyDescent="0.2">
      <c r="F483" s="31"/>
      <c r="G483" s="31"/>
      <c r="H483" s="31"/>
    </row>
    <row r="484" spans="6:8" ht="12.75" customHeight="1" x14ac:dyDescent="0.2">
      <c r="F484" s="31"/>
      <c r="G484" s="31"/>
      <c r="H484" s="31"/>
    </row>
    <row r="485" spans="6:8" ht="12.75" customHeight="1" x14ac:dyDescent="0.2">
      <c r="F485" s="31"/>
      <c r="G485" s="31"/>
      <c r="H485" s="31"/>
    </row>
    <row r="486" spans="6:8" ht="12.75" customHeight="1" x14ac:dyDescent="0.2">
      <c r="F486" s="31"/>
      <c r="G486" s="31"/>
      <c r="H486" s="31"/>
    </row>
    <row r="487" spans="6:8" ht="12.75" customHeight="1" x14ac:dyDescent="0.2">
      <c r="F487" s="31"/>
      <c r="G487" s="31"/>
      <c r="H487" s="31"/>
    </row>
    <row r="488" spans="6:8" ht="12.75" customHeight="1" x14ac:dyDescent="0.2">
      <c r="F488" s="31"/>
      <c r="G488" s="31"/>
      <c r="H488" s="31"/>
    </row>
    <row r="489" spans="6:8" ht="12.75" customHeight="1" x14ac:dyDescent="0.2">
      <c r="F489" s="31"/>
      <c r="G489" s="31"/>
      <c r="H489" s="31"/>
    </row>
    <row r="490" spans="6:8" ht="12.75" customHeight="1" x14ac:dyDescent="0.2">
      <c r="F490" s="31"/>
      <c r="G490" s="31"/>
      <c r="H490" s="31"/>
    </row>
    <row r="491" spans="6:8" ht="12.75" customHeight="1" x14ac:dyDescent="0.2">
      <c r="F491" s="31"/>
      <c r="G491" s="31"/>
      <c r="H491" s="31"/>
    </row>
    <row r="492" spans="6:8" ht="12.75" customHeight="1" x14ac:dyDescent="0.2">
      <c r="F492" s="31"/>
      <c r="G492" s="31"/>
      <c r="H492" s="31"/>
    </row>
    <row r="493" spans="6:8" ht="12.75" customHeight="1" x14ac:dyDescent="0.2">
      <c r="F493" s="31"/>
      <c r="G493" s="31"/>
      <c r="H493" s="31"/>
    </row>
    <row r="494" spans="6:8" ht="12.75" customHeight="1" x14ac:dyDescent="0.2">
      <c r="F494" s="31"/>
      <c r="G494" s="31"/>
      <c r="H494" s="31"/>
    </row>
    <row r="495" spans="6:8" ht="12.75" customHeight="1" x14ac:dyDescent="0.2">
      <c r="F495" s="31"/>
      <c r="G495" s="31"/>
      <c r="H495" s="31"/>
    </row>
    <row r="496" spans="6:8" ht="12.75" customHeight="1" x14ac:dyDescent="0.2">
      <c r="F496" s="31"/>
      <c r="G496" s="31"/>
      <c r="H496" s="31"/>
    </row>
    <row r="497" spans="6:8" ht="12.75" customHeight="1" x14ac:dyDescent="0.2">
      <c r="F497" s="31"/>
      <c r="G497" s="31"/>
      <c r="H497" s="31"/>
    </row>
    <row r="498" spans="6:8" ht="12.75" customHeight="1" x14ac:dyDescent="0.2">
      <c r="F498" s="31"/>
      <c r="G498" s="31"/>
      <c r="H498" s="31"/>
    </row>
    <row r="499" spans="6:8" ht="12.75" customHeight="1" x14ac:dyDescent="0.2">
      <c r="F499" s="31"/>
      <c r="G499" s="31"/>
      <c r="H499" s="31"/>
    </row>
    <row r="500" spans="6:8" ht="12.75" customHeight="1" x14ac:dyDescent="0.2">
      <c r="F500" s="31"/>
      <c r="G500" s="31"/>
      <c r="H500" s="31"/>
    </row>
    <row r="501" spans="6:8" ht="12.75" customHeight="1" x14ac:dyDescent="0.2">
      <c r="F501" s="31"/>
      <c r="G501" s="31"/>
      <c r="H501" s="31"/>
    </row>
    <row r="502" spans="6:8" ht="12.75" customHeight="1" x14ac:dyDescent="0.2">
      <c r="F502" s="31"/>
      <c r="G502" s="31"/>
      <c r="H502" s="31"/>
    </row>
    <row r="503" spans="6:8" ht="12.75" customHeight="1" x14ac:dyDescent="0.2">
      <c r="F503" s="31"/>
      <c r="G503" s="31"/>
      <c r="H503" s="31"/>
    </row>
    <row r="504" spans="6:8" ht="12.75" customHeight="1" x14ac:dyDescent="0.2">
      <c r="F504" s="31"/>
      <c r="G504" s="31"/>
      <c r="H504" s="31"/>
    </row>
    <row r="505" spans="6:8" ht="12.75" customHeight="1" x14ac:dyDescent="0.2">
      <c r="F505" s="31"/>
      <c r="G505" s="31"/>
      <c r="H505" s="31"/>
    </row>
    <row r="506" spans="6:8" ht="12.75" customHeight="1" x14ac:dyDescent="0.2">
      <c r="F506" s="31"/>
      <c r="G506" s="31"/>
      <c r="H506" s="31"/>
    </row>
    <row r="507" spans="6:8" ht="12.75" customHeight="1" x14ac:dyDescent="0.2">
      <c r="F507" s="31"/>
      <c r="G507" s="31"/>
      <c r="H507" s="31"/>
    </row>
    <row r="508" spans="6:8" ht="12.75" customHeight="1" x14ac:dyDescent="0.2">
      <c r="F508" s="31"/>
      <c r="G508" s="31"/>
      <c r="H508" s="31"/>
    </row>
    <row r="509" spans="6:8" ht="12.75" customHeight="1" x14ac:dyDescent="0.2">
      <c r="F509" s="31"/>
      <c r="G509" s="31"/>
      <c r="H509" s="31"/>
    </row>
    <row r="510" spans="6:8" ht="12.75" customHeight="1" x14ac:dyDescent="0.2">
      <c r="F510" s="31"/>
      <c r="G510" s="31"/>
      <c r="H510" s="31"/>
    </row>
    <row r="511" spans="6:8" ht="12.75" customHeight="1" x14ac:dyDescent="0.2">
      <c r="F511" s="31"/>
      <c r="G511" s="31"/>
      <c r="H511" s="31"/>
    </row>
    <row r="512" spans="6:8" ht="12.75" customHeight="1" x14ac:dyDescent="0.2">
      <c r="F512" s="31"/>
      <c r="G512" s="31"/>
      <c r="H512" s="31"/>
    </row>
    <row r="513" spans="6:8" ht="12.75" customHeight="1" x14ac:dyDescent="0.2">
      <c r="F513" s="31"/>
      <c r="G513" s="31"/>
      <c r="H513" s="31"/>
    </row>
    <row r="514" spans="6:8" ht="12.75" customHeight="1" x14ac:dyDescent="0.2">
      <c r="F514" s="31"/>
      <c r="G514" s="31"/>
      <c r="H514" s="31"/>
    </row>
    <row r="515" spans="6:8" ht="12.75" customHeight="1" x14ac:dyDescent="0.2">
      <c r="F515" s="31"/>
      <c r="G515" s="31"/>
      <c r="H515" s="31"/>
    </row>
    <row r="516" spans="6:8" ht="12.75" customHeight="1" x14ac:dyDescent="0.2">
      <c r="F516" s="31"/>
      <c r="G516" s="31"/>
      <c r="H516" s="31"/>
    </row>
    <row r="517" spans="6:8" ht="12.75" customHeight="1" x14ac:dyDescent="0.2">
      <c r="F517" s="31"/>
      <c r="G517" s="31"/>
      <c r="H517" s="31"/>
    </row>
    <row r="518" spans="6:8" ht="12.75" customHeight="1" x14ac:dyDescent="0.2">
      <c r="F518" s="31"/>
      <c r="G518" s="31"/>
      <c r="H518" s="31"/>
    </row>
    <row r="519" spans="6:8" ht="12.75" customHeight="1" x14ac:dyDescent="0.2">
      <c r="F519" s="31"/>
      <c r="G519" s="31"/>
      <c r="H519" s="31"/>
    </row>
    <row r="520" spans="6:8" ht="12.75" customHeight="1" x14ac:dyDescent="0.2">
      <c r="F520" s="31"/>
      <c r="G520" s="31"/>
      <c r="H520" s="31"/>
    </row>
    <row r="521" spans="6:8" ht="12.75" customHeight="1" x14ac:dyDescent="0.2">
      <c r="F521" s="31"/>
      <c r="G521" s="31"/>
      <c r="H521" s="31"/>
    </row>
    <row r="522" spans="6:8" ht="12.75" customHeight="1" x14ac:dyDescent="0.2">
      <c r="F522" s="31"/>
      <c r="G522" s="31"/>
      <c r="H522" s="31"/>
    </row>
    <row r="523" spans="6:8" ht="12.75" customHeight="1" x14ac:dyDescent="0.2">
      <c r="F523" s="31"/>
      <c r="G523" s="31"/>
      <c r="H523" s="31"/>
    </row>
    <row r="524" spans="6:8" ht="12.75" customHeight="1" x14ac:dyDescent="0.2">
      <c r="F524" s="31"/>
      <c r="G524" s="31"/>
      <c r="H524" s="31"/>
    </row>
    <row r="525" spans="6:8" ht="12.75" customHeight="1" x14ac:dyDescent="0.2">
      <c r="F525" s="31"/>
      <c r="G525" s="31"/>
      <c r="H525" s="31"/>
    </row>
    <row r="526" spans="6:8" ht="12.75" customHeight="1" x14ac:dyDescent="0.2">
      <c r="F526" s="31"/>
      <c r="G526" s="31"/>
      <c r="H526" s="31"/>
    </row>
    <row r="527" spans="6:8" ht="12.75" customHeight="1" x14ac:dyDescent="0.2">
      <c r="F527" s="31"/>
      <c r="G527" s="31"/>
      <c r="H527" s="31"/>
    </row>
    <row r="528" spans="6:8" ht="12.75" customHeight="1" x14ac:dyDescent="0.2">
      <c r="F528" s="31"/>
      <c r="G528" s="31"/>
      <c r="H528" s="31"/>
    </row>
    <row r="529" spans="6:8" ht="12.75" customHeight="1" x14ac:dyDescent="0.2">
      <c r="F529" s="31"/>
      <c r="G529" s="31"/>
      <c r="H529" s="31"/>
    </row>
    <row r="530" spans="6:8" ht="12.75" customHeight="1" x14ac:dyDescent="0.2">
      <c r="F530" s="31"/>
      <c r="G530" s="31"/>
      <c r="H530" s="31"/>
    </row>
    <row r="531" spans="6:8" ht="12.75" customHeight="1" x14ac:dyDescent="0.2">
      <c r="F531" s="31"/>
      <c r="G531" s="31"/>
      <c r="H531" s="31"/>
    </row>
    <row r="532" spans="6:8" ht="12.75" customHeight="1" x14ac:dyDescent="0.2">
      <c r="F532" s="31"/>
      <c r="G532" s="31"/>
      <c r="H532" s="31"/>
    </row>
    <row r="533" spans="6:8" ht="12.75" customHeight="1" x14ac:dyDescent="0.2">
      <c r="F533" s="31"/>
      <c r="G533" s="31"/>
      <c r="H533" s="31"/>
    </row>
    <row r="534" spans="6:8" ht="12.75" customHeight="1" x14ac:dyDescent="0.2">
      <c r="F534" s="31"/>
      <c r="G534" s="31"/>
      <c r="H534" s="31"/>
    </row>
    <row r="535" spans="6:8" ht="12.75" customHeight="1" x14ac:dyDescent="0.2">
      <c r="F535" s="31"/>
      <c r="G535" s="31"/>
      <c r="H535" s="31"/>
    </row>
    <row r="536" spans="6:8" ht="12.75" customHeight="1" x14ac:dyDescent="0.2">
      <c r="F536" s="31"/>
      <c r="G536" s="31"/>
      <c r="H536" s="31"/>
    </row>
    <row r="537" spans="6:8" ht="12.75" customHeight="1" x14ac:dyDescent="0.2">
      <c r="F537" s="31"/>
      <c r="G537" s="31"/>
      <c r="H537" s="31"/>
    </row>
    <row r="538" spans="6:8" ht="12.75" customHeight="1" x14ac:dyDescent="0.2">
      <c r="F538" s="31"/>
      <c r="G538" s="31"/>
      <c r="H538" s="31"/>
    </row>
    <row r="539" spans="6:8" ht="12.75" customHeight="1" x14ac:dyDescent="0.2">
      <c r="F539" s="31"/>
      <c r="G539" s="31"/>
      <c r="H539" s="31"/>
    </row>
    <row r="540" spans="6:8" ht="12.75" customHeight="1" x14ac:dyDescent="0.2">
      <c r="F540" s="31"/>
      <c r="G540" s="31"/>
      <c r="H540" s="31"/>
    </row>
    <row r="541" spans="6:8" ht="12.75" customHeight="1" x14ac:dyDescent="0.2">
      <c r="F541" s="31"/>
      <c r="G541" s="31"/>
      <c r="H541" s="31"/>
    </row>
    <row r="542" spans="6:8" ht="12.75" customHeight="1" x14ac:dyDescent="0.2">
      <c r="F542" s="31"/>
      <c r="G542" s="31"/>
      <c r="H542" s="31"/>
    </row>
    <row r="543" spans="6:8" ht="12.75" customHeight="1" x14ac:dyDescent="0.2">
      <c r="F543" s="31"/>
      <c r="G543" s="31"/>
      <c r="H543" s="31"/>
    </row>
    <row r="544" spans="6:8" ht="12.75" customHeight="1" x14ac:dyDescent="0.2">
      <c r="F544" s="31"/>
      <c r="G544" s="31"/>
      <c r="H544" s="31"/>
    </row>
    <row r="545" spans="6:8" ht="12.75" customHeight="1" x14ac:dyDescent="0.2">
      <c r="F545" s="31"/>
      <c r="G545" s="31"/>
      <c r="H545" s="31"/>
    </row>
    <row r="546" spans="6:8" ht="12.75" customHeight="1" x14ac:dyDescent="0.2">
      <c r="F546" s="31"/>
      <c r="G546" s="31"/>
      <c r="H546" s="31"/>
    </row>
    <row r="547" spans="6:8" ht="12.75" customHeight="1" x14ac:dyDescent="0.2">
      <c r="F547" s="31"/>
      <c r="G547" s="31"/>
      <c r="H547" s="31"/>
    </row>
    <row r="548" spans="6:8" ht="12.75" customHeight="1" x14ac:dyDescent="0.2">
      <c r="F548" s="31"/>
      <c r="G548" s="31"/>
      <c r="H548" s="31"/>
    </row>
    <row r="549" spans="6:8" ht="12.75" customHeight="1" x14ac:dyDescent="0.2">
      <c r="F549" s="31"/>
      <c r="G549" s="31"/>
      <c r="H549" s="31"/>
    </row>
    <row r="550" spans="6:8" ht="12.75" customHeight="1" x14ac:dyDescent="0.2">
      <c r="F550" s="31"/>
      <c r="G550" s="31"/>
      <c r="H550" s="31"/>
    </row>
    <row r="551" spans="6:8" ht="12.75" customHeight="1" x14ac:dyDescent="0.2">
      <c r="F551" s="31"/>
      <c r="G551" s="31"/>
      <c r="H551" s="31"/>
    </row>
    <row r="552" spans="6:8" ht="12.75" customHeight="1" x14ac:dyDescent="0.2">
      <c r="F552" s="31"/>
      <c r="G552" s="31"/>
      <c r="H552" s="31"/>
    </row>
    <row r="553" spans="6:8" ht="12.75" customHeight="1" x14ac:dyDescent="0.2">
      <c r="F553" s="31"/>
      <c r="G553" s="31"/>
      <c r="H553" s="31"/>
    </row>
    <row r="554" spans="6:8" ht="12.75" customHeight="1" x14ac:dyDescent="0.2">
      <c r="F554" s="31"/>
      <c r="G554" s="31"/>
      <c r="H554" s="31"/>
    </row>
    <row r="555" spans="6:8" ht="12.75" customHeight="1" x14ac:dyDescent="0.2">
      <c r="F555" s="31"/>
      <c r="G555" s="31"/>
      <c r="H555" s="31"/>
    </row>
    <row r="556" spans="6:8" ht="12.75" customHeight="1" x14ac:dyDescent="0.2">
      <c r="F556" s="31"/>
      <c r="G556" s="31"/>
      <c r="H556" s="31"/>
    </row>
    <row r="557" spans="6:8" ht="12.75" customHeight="1" x14ac:dyDescent="0.2">
      <c r="F557" s="31"/>
      <c r="G557" s="31"/>
      <c r="H557" s="31"/>
    </row>
    <row r="558" spans="6:8" ht="12.75" customHeight="1" x14ac:dyDescent="0.2">
      <c r="F558" s="31"/>
      <c r="G558" s="31"/>
      <c r="H558" s="31"/>
    </row>
    <row r="559" spans="6:8" ht="12.75" customHeight="1" x14ac:dyDescent="0.2">
      <c r="F559" s="31"/>
      <c r="G559" s="31"/>
      <c r="H559" s="31"/>
    </row>
    <row r="560" spans="6:8" ht="12.75" customHeight="1" x14ac:dyDescent="0.2">
      <c r="F560" s="31"/>
      <c r="G560" s="31"/>
      <c r="H560" s="31"/>
    </row>
    <row r="561" spans="6:8" ht="12.75" customHeight="1" x14ac:dyDescent="0.2">
      <c r="F561" s="31"/>
      <c r="G561" s="31"/>
      <c r="H561" s="31"/>
    </row>
    <row r="562" spans="6:8" ht="12.75" customHeight="1" x14ac:dyDescent="0.2">
      <c r="F562" s="31"/>
      <c r="G562" s="31"/>
      <c r="H562" s="31"/>
    </row>
    <row r="563" spans="6:8" ht="12.75" customHeight="1" x14ac:dyDescent="0.2">
      <c r="F563" s="31"/>
      <c r="G563" s="31"/>
      <c r="H563" s="31"/>
    </row>
    <row r="564" spans="6:8" ht="12.75" customHeight="1" x14ac:dyDescent="0.2">
      <c r="F564" s="31"/>
      <c r="G564" s="31"/>
      <c r="H564" s="31"/>
    </row>
    <row r="565" spans="6:8" ht="12.75" customHeight="1" x14ac:dyDescent="0.2">
      <c r="F565" s="31"/>
      <c r="G565" s="31"/>
      <c r="H565" s="31"/>
    </row>
    <row r="566" spans="6:8" ht="12.75" customHeight="1" x14ac:dyDescent="0.2">
      <c r="F566" s="31"/>
      <c r="G566" s="31"/>
      <c r="H566" s="31"/>
    </row>
    <row r="567" spans="6:8" ht="12.75" customHeight="1" x14ac:dyDescent="0.2">
      <c r="F567" s="31"/>
      <c r="G567" s="31"/>
      <c r="H567" s="31"/>
    </row>
    <row r="568" spans="6:8" ht="12.75" customHeight="1" x14ac:dyDescent="0.2">
      <c r="F568" s="31"/>
      <c r="G568" s="31"/>
      <c r="H568" s="31"/>
    </row>
    <row r="569" spans="6:8" ht="12.75" customHeight="1" x14ac:dyDescent="0.2">
      <c r="F569" s="31"/>
      <c r="G569" s="31"/>
      <c r="H569" s="31"/>
    </row>
    <row r="570" spans="6:8" ht="12.75" customHeight="1" x14ac:dyDescent="0.2">
      <c r="F570" s="31"/>
      <c r="G570" s="31"/>
      <c r="H570" s="31"/>
    </row>
    <row r="571" spans="6:8" ht="12.75" customHeight="1" x14ac:dyDescent="0.2">
      <c r="F571" s="31"/>
      <c r="G571" s="31"/>
      <c r="H571" s="31"/>
    </row>
    <row r="572" spans="6:8" ht="12.75" customHeight="1" x14ac:dyDescent="0.2">
      <c r="F572" s="31"/>
      <c r="G572" s="31"/>
      <c r="H572" s="31"/>
    </row>
    <row r="573" spans="6:8" ht="12.75" customHeight="1" x14ac:dyDescent="0.2">
      <c r="F573" s="31"/>
      <c r="G573" s="31"/>
      <c r="H573" s="31"/>
    </row>
    <row r="574" spans="6:8" ht="12.75" customHeight="1" x14ac:dyDescent="0.2">
      <c r="F574" s="31"/>
      <c r="G574" s="31"/>
      <c r="H574" s="31"/>
    </row>
    <row r="575" spans="6:8" ht="12.75" customHeight="1" x14ac:dyDescent="0.2">
      <c r="F575" s="31"/>
      <c r="G575" s="31"/>
      <c r="H575" s="31"/>
    </row>
    <row r="576" spans="6:8" ht="12.75" customHeight="1" x14ac:dyDescent="0.2">
      <c r="F576" s="31"/>
      <c r="G576" s="31"/>
      <c r="H576" s="31"/>
    </row>
    <row r="577" spans="6:8" ht="12.75" customHeight="1" x14ac:dyDescent="0.2">
      <c r="F577" s="31"/>
      <c r="G577" s="31"/>
      <c r="H577" s="31"/>
    </row>
    <row r="578" spans="6:8" ht="12.75" customHeight="1" x14ac:dyDescent="0.2">
      <c r="F578" s="31"/>
      <c r="G578" s="31"/>
      <c r="H578" s="31"/>
    </row>
    <row r="579" spans="6:8" ht="12.75" customHeight="1" x14ac:dyDescent="0.2">
      <c r="F579" s="31"/>
      <c r="G579" s="31"/>
      <c r="H579" s="31"/>
    </row>
    <row r="580" spans="6:8" ht="12.75" customHeight="1" x14ac:dyDescent="0.2">
      <c r="F580" s="31"/>
      <c r="G580" s="31"/>
      <c r="H580" s="31"/>
    </row>
    <row r="581" spans="6:8" ht="12.75" customHeight="1" x14ac:dyDescent="0.2">
      <c r="F581" s="31"/>
      <c r="G581" s="31"/>
      <c r="H581" s="31"/>
    </row>
    <row r="582" spans="6:8" ht="12.75" customHeight="1" x14ac:dyDescent="0.2">
      <c r="F582" s="31"/>
      <c r="G582" s="31"/>
      <c r="H582" s="31"/>
    </row>
    <row r="583" spans="6:8" ht="12.75" customHeight="1" x14ac:dyDescent="0.2">
      <c r="F583" s="31"/>
      <c r="G583" s="31"/>
      <c r="H583" s="31"/>
    </row>
    <row r="584" spans="6:8" ht="12.75" customHeight="1" x14ac:dyDescent="0.2">
      <c r="F584" s="31"/>
      <c r="G584" s="31"/>
      <c r="H584" s="31"/>
    </row>
    <row r="585" spans="6:8" ht="12.75" customHeight="1" x14ac:dyDescent="0.2">
      <c r="F585" s="31"/>
      <c r="G585" s="31"/>
      <c r="H585" s="31"/>
    </row>
    <row r="586" spans="6:8" ht="12.75" customHeight="1" x14ac:dyDescent="0.2">
      <c r="F586" s="31"/>
      <c r="G586" s="31"/>
      <c r="H586" s="31"/>
    </row>
    <row r="587" spans="6:8" ht="12.75" customHeight="1" x14ac:dyDescent="0.2">
      <c r="F587" s="31"/>
      <c r="G587" s="31"/>
      <c r="H587" s="31"/>
    </row>
    <row r="588" spans="6:8" ht="12.75" customHeight="1" x14ac:dyDescent="0.2">
      <c r="F588" s="31"/>
      <c r="G588" s="31"/>
      <c r="H588" s="31"/>
    </row>
    <row r="589" spans="6:8" ht="12.75" customHeight="1" x14ac:dyDescent="0.2">
      <c r="F589" s="31"/>
      <c r="G589" s="31"/>
      <c r="H589" s="31"/>
    </row>
    <row r="590" spans="6:8" ht="12.75" customHeight="1" x14ac:dyDescent="0.2">
      <c r="F590" s="31"/>
      <c r="G590" s="31"/>
      <c r="H590" s="31"/>
    </row>
    <row r="591" spans="6:8" ht="12.75" customHeight="1" x14ac:dyDescent="0.2">
      <c r="F591" s="31"/>
      <c r="G591" s="31"/>
      <c r="H591" s="31"/>
    </row>
    <row r="592" spans="6:8" ht="12.75" customHeight="1" x14ac:dyDescent="0.2">
      <c r="F592" s="31"/>
      <c r="G592" s="31"/>
      <c r="H592" s="31"/>
    </row>
    <row r="593" spans="6:8" ht="12.75" customHeight="1" x14ac:dyDescent="0.2">
      <c r="F593" s="31"/>
      <c r="G593" s="31"/>
      <c r="H593" s="31"/>
    </row>
    <row r="594" spans="6:8" ht="12.75" customHeight="1" x14ac:dyDescent="0.2">
      <c r="F594" s="31"/>
      <c r="G594" s="31"/>
      <c r="H594" s="31"/>
    </row>
    <row r="595" spans="6:8" ht="12.75" customHeight="1" x14ac:dyDescent="0.2">
      <c r="F595" s="31"/>
      <c r="G595" s="31"/>
      <c r="H595" s="31"/>
    </row>
    <row r="596" spans="6:8" ht="12.75" customHeight="1" x14ac:dyDescent="0.2">
      <c r="F596" s="31"/>
      <c r="G596" s="31"/>
      <c r="H596" s="31"/>
    </row>
    <row r="597" spans="6:8" ht="12.75" customHeight="1" x14ac:dyDescent="0.2">
      <c r="F597" s="31"/>
      <c r="G597" s="31"/>
      <c r="H597" s="31"/>
    </row>
    <row r="598" spans="6:8" ht="12.75" customHeight="1" x14ac:dyDescent="0.2">
      <c r="F598" s="31"/>
      <c r="G598" s="31"/>
      <c r="H598" s="31"/>
    </row>
    <row r="599" spans="6:8" ht="12.75" customHeight="1" x14ac:dyDescent="0.2">
      <c r="F599" s="31"/>
      <c r="G599" s="31"/>
      <c r="H599" s="31"/>
    </row>
    <row r="600" spans="6:8" ht="12.75" customHeight="1" x14ac:dyDescent="0.2">
      <c r="F600" s="31"/>
      <c r="G600" s="31"/>
      <c r="H600" s="31"/>
    </row>
    <row r="601" spans="6:8" ht="12.75" customHeight="1" x14ac:dyDescent="0.2">
      <c r="F601" s="31"/>
      <c r="G601" s="31"/>
      <c r="H601" s="31"/>
    </row>
    <row r="602" spans="6:8" ht="12.75" customHeight="1" x14ac:dyDescent="0.2">
      <c r="F602" s="31"/>
      <c r="G602" s="31"/>
      <c r="H602" s="31"/>
    </row>
    <row r="603" spans="6:8" ht="12.75" customHeight="1" x14ac:dyDescent="0.2">
      <c r="F603" s="31"/>
      <c r="G603" s="31"/>
      <c r="H603" s="31"/>
    </row>
    <row r="604" spans="6:8" ht="12.75" customHeight="1" x14ac:dyDescent="0.2">
      <c r="F604" s="31"/>
      <c r="G604" s="31"/>
      <c r="H604" s="31"/>
    </row>
    <row r="605" spans="6:8" ht="12.75" customHeight="1" x14ac:dyDescent="0.2">
      <c r="F605" s="31"/>
      <c r="G605" s="31"/>
      <c r="H605" s="31"/>
    </row>
    <row r="606" spans="6:8" ht="12.75" customHeight="1" x14ac:dyDescent="0.2">
      <c r="F606" s="31"/>
      <c r="G606" s="31"/>
      <c r="H606" s="31"/>
    </row>
    <row r="607" spans="6:8" ht="12.75" customHeight="1" x14ac:dyDescent="0.2">
      <c r="F607" s="31"/>
      <c r="G607" s="31"/>
      <c r="H607" s="31"/>
    </row>
    <row r="608" spans="6:8" ht="12.75" customHeight="1" x14ac:dyDescent="0.2">
      <c r="F608" s="31"/>
      <c r="G608" s="31"/>
      <c r="H608" s="31"/>
    </row>
    <row r="609" spans="6:8" ht="12.75" customHeight="1" x14ac:dyDescent="0.2">
      <c r="F609" s="31"/>
      <c r="G609" s="31"/>
      <c r="H609" s="31"/>
    </row>
    <row r="610" spans="6:8" ht="12.75" customHeight="1" x14ac:dyDescent="0.2">
      <c r="F610" s="31"/>
      <c r="G610" s="31"/>
      <c r="H610" s="31"/>
    </row>
    <row r="611" spans="6:8" ht="12.75" customHeight="1" x14ac:dyDescent="0.2">
      <c r="F611" s="31"/>
      <c r="G611" s="31"/>
      <c r="H611" s="31"/>
    </row>
    <row r="612" spans="6:8" ht="12.75" customHeight="1" x14ac:dyDescent="0.2">
      <c r="F612" s="31"/>
      <c r="G612" s="31"/>
      <c r="H612" s="31"/>
    </row>
    <row r="613" spans="6:8" ht="12.75" customHeight="1" x14ac:dyDescent="0.2">
      <c r="F613" s="31"/>
      <c r="G613" s="31"/>
      <c r="H613" s="31"/>
    </row>
    <row r="614" spans="6:8" ht="12.75" customHeight="1" x14ac:dyDescent="0.2">
      <c r="F614" s="31"/>
      <c r="G614" s="31"/>
      <c r="H614" s="31"/>
    </row>
    <row r="615" spans="6:8" ht="12.75" customHeight="1" x14ac:dyDescent="0.2">
      <c r="F615" s="31"/>
      <c r="G615" s="31"/>
      <c r="H615" s="31"/>
    </row>
    <row r="616" spans="6:8" ht="12.75" customHeight="1" x14ac:dyDescent="0.2">
      <c r="F616" s="31"/>
      <c r="G616" s="31"/>
      <c r="H616" s="31"/>
    </row>
    <row r="617" spans="6:8" ht="12.75" customHeight="1" x14ac:dyDescent="0.2">
      <c r="F617" s="31"/>
      <c r="G617" s="31"/>
      <c r="H617" s="31"/>
    </row>
    <row r="618" spans="6:8" ht="12.75" customHeight="1" x14ac:dyDescent="0.2">
      <c r="F618" s="31"/>
      <c r="G618" s="31"/>
      <c r="H618" s="31"/>
    </row>
    <row r="619" spans="6:8" ht="12.75" customHeight="1" x14ac:dyDescent="0.2">
      <c r="F619" s="31"/>
      <c r="G619" s="31"/>
      <c r="H619" s="31"/>
    </row>
    <row r="620" spans="6:8" ht="12.75" customHeight="1" x14ac:dyDescent="0.2">
      <c r="F620" s="31"/>
      <c r="G620" s="31"/>
      <c r="H620" s="31"/>
    </row>
    <row r="621" spans="6:8" ht="12.75" customHeight="1" x14ac:dyDescent="0.2">
      <c r="F621" s="31"/>
      <c r="G621" s="31"/>
      <c r="H621" s="31"/>
    </row>
    <row r="622" spans="6:8" ht="12.75" customHeight="1" x14ac:dyDescent="0.2">
      <c r="F622" s="31"/>
      <c r="G622" s="31"/>
      <c r="H622" s="31"/>
    </row>
    <row r="623" spans="6:8" ht="12.75" customHeight="1" x14ac:dyDescent="0.2">
      <c r="F623" s="31"/>
      <c r="G623" s="31"/>
      <c r="H623" s="31"/>
    </row>
    <row r="624" spans="6:8" ht="12.75" customHeight="1" x14ac:dyDescent="0.2">
      <c r="F624" s="31"/>
      <c r="G624" s="31"/>
      <c r="H624" s="31"/>
    </row>
    <row r="625" spans="6:8" ht="12.75" customHeight="1" x14ac:dyDescent="0.2">
      <c r="F625" s="31"/>
      <c r="G625" s="31"/>
      <c r="H625" s="31"/>
    </row>
    <row r="626" spans="6:8" ht="12.75" customHeight="1" x14ac:dyDescent="0.2">
      <c r="F626" s="31"/>
      <c r="G626" s="31"/>
      <c r="H626" s="31"/>
    </row>
    <row r="627" spans="6:8" ht="12.75" customHeight="1" x14ac:dyDescent="0.2">
      <c r="F627" s="31"/>
      <c r="G627" s="31"/>
      <c r="H627" s="31"/>
    </row>
    <row r="628" spans="6:8" ht="12.75" customHeight="1" x14ac:dyDescent="0.2">
      <c r="F628" s="31"/>
      <c r="G628" s="31"/>
      <c r="H628" s="31"/>
    </row>
    <row r="629" spans="6:8" ht="12.75" customHeight="1" x14ac:dyDescent="0.2">
      <c r="F629" s="31"/>
      <c r="G629" s="31"/>
      <c r="H629" s="31"/>
    </row>
    <row r="630" spans="6:8" ht="12.75" customHeight="1" x14ac:dyDescent="0.2">
      <c r="F630" s="31"/>
      <c r="G630" s="31"/>
      <c r="H630" s="31"/>
    </row>
    <row r="631" spans="6:8" ht="12.75" customHeight="1" x14ac:dyDescent="0.2">
      <c r="F631" s="31"/>
      <c r="G631" s="31"/>
      <c r="H631" s="31"/>
    </row>
    <row r="632" spans="6:8" ht="12.75" customHeight="1" x14ac:dyDescent="0.2">
      <c r="F632" s="31"/>
      <c r="G632" s="31"/>
      <c r="H632" s="31"/>
    </row>
    <row r="633" spans="6:8" ht="12.75" customHeight="1" x14ac:dyDescent="0.2">
      <c r="F633" s="31"/>
      <c r="G633" s="31"/>
      <c r="H633" s="31"/>
    </row>
    <row r="634" spans="6:8" ht="12.75" customHeight="1" x14ac:dyDescent="0.2">
      <c r="F634" s="31"/>
      <c r="G634" s="31"/>
      <c r="H634" s="31"/>
    </row>
    <row r="635" spans="6:8" ht="12.75" customHeight="1" x14ac:dyDescent="0.2">
      <c r="F635" s="31"/>
      <c r="G635" s="31"/>
      <c r="H635" s="31"/>
    </row>
    <row r="636" spans="6:8" ht="12.75" customHeight="1" x14ac:dyDescent="0.2">
      <c r="F636" s="31"/>
      <c r="G636" s="31"/>
      <c r="H636" s="31"/>
    </row>
    <row r="637" spans="6:8" ht="12.75" customHeight="1" x14ac:dyDescent="0.2">
      <c r="F637" s="31"/>
      <c r="G637" s="31"/>
      <c r="H637" s="31"/>
    </row>
    <row r="638" spans="6:8" ht="12.75" customHeight="1" x14ac:dyDescent="0.2">
      <c r="F638" s="31"/>
      <c r="G638" s="31"/>
      <c r="H638" s="31"/>
    </row>
    <row r="639" spans="6:8" ht="12.75" customHeight="1" x14ac:dyDescent="0.2">
      <c r="F639" s="31"/>
      <c r="G639" s="31"/>
      <c r="H639" s="31"/>
    </row>
    <row r="640" spans="6:8" ht="12.75" customHeight="1" x14ac:dyDescent="0.2">
      <c r="F640" s="31"/>
      <c r="G640" s="31"/>
      <c r="H640" s="31"/>
    </row>
    <row r="641" spans="6:8" ht="12.75" customHeight="1" x14ac:dyDescent="0.2">
      <c r="F641" s="31"/>
      <c r="G641" s="31"/>
      <c r="H641" s="31"/>
    </row>
    <row r="642" spans="6:8" ht="12.75" customHeight="1" x14ac:dyDescent="0.2">
      <c r="F642" s="31"/>
      <c r="G642" s="31"/>
      <c r="H642" s="31"/>
    </row>
    <row r="643" spans="6:8" ht="12.75" customHeight="1" x14ac:dyDescent="0.2">
      <c r="F643" s="31"/>
      <c r="G643" s="31"/>
      <c r="H643" s="31"/>
    </row>
    <row r="644" spans="6:8" ht="12.75" customHeight="1" x14ac:dyDescent="0.2">
      <c r="F644" s="31"/>
      <c r="G644" s="31"/>
      <c r="H644" s="31"/>
    </row>
    <row r="645" spans="6:8" ht="12.75" customHeight="1" x14ac:dyDescent="0.2">
      <c r="F645" s="31"/>
      <c r="G645" s="31"/>
      <c r="H645" s="31"/>
    </row>
    <row r="646" spans="6:8" ht="12.75" customHeight="1" x14ac:dyDescent="0.2">
      <c r="F646" s="31"/>
      <c r="G646" s="31"/>
      <c r="H646" s="31"/>
    </row>
    <row r="647" spans="6:8" ht="12.75" customHeight="1" x14ac:dyDescent="0.2">
      <c r="F647" s="31"/>
      <c r="G647" s="31"/>
      <c r="H647" s="31"/>
    </row>
    <row r="648" spans="6:8" ht="12.75" customHeight="1" x14ac:dyDescent="0.2">
      <c r="F648" s="31"/>
      <c r="G648" s="31"/>
      <c r="H648" s="31"/>
    </row>
    <row r="649" spans="6:8" ht="12.75" customHeight="1" x14ac:dyDescent="0.2">
      <c r="F649" s="31"/>
      <c r="G649" s="31"/>
      <c r="H649" s="31"/>
    </row>
    <row r="650" spans="6:8" ht="12.75" customHeight="1" x14ac:dyDescent="0.2">
      <c r="F650" s="31"/>
      <c r="G650" s="31"/>
      <c r="H650" s="31"/>
    </row>
    <row r="651" spans="6:8" ht="12.75" customHeight="1" x14ac:dyDescent="0.2">
      <c r="F651" s="31"/>
      <c r="G651" s="31"/>
      <c r="H651" s="31"/>
    </row>
    <row r="652" spans="6:8" ht="12.75" customHeight="1" x14ac:dyDescent="0.2">
      <c r="F652" s="31"/>
      <c r="G652" s="31"/>
      <c r="H652" s="31"/>
    </row>
    <row r="653" spans="6:8" ht="12.75" customHeight="1" x14ac:dyDescent="0.2">
      <c r="F653" s="31"/>
      <c r="G653" s="31"/>
      <c r="H653" s="31"/>
    </row>
    <row r="654" spans="6:8" ht="12.75" customHeight="1" x14ac:dyDescent="0.2">
      <c r="F654" s="31"/>
      <c r="G654" s="31"/>
      <c r="H654" s="31"/>
    </row>
    <row r="655" spans="6:8" ht="12.75" customHeight="1" x14ac:dyDescent="0.2">
      <c r="F655" s="31"/>
      <c r="G655" s="31"/>
      <c r="H655" s="31"/>
    </row>
    <row r="656" spans="6:8" ht="12.75" customHeight="1" x14ac:dyDescent="0.2">
      <c r="F656" s="31"/>
      <c r="G656" s="31"/>
      <c r="H656" s="31"/>
    </row>
    <row r="657" spans="6:8" ht="12.75" customHeight="1" x14ac:dyDescent="0.2">
      <c r="F657" s="31"/>
      <c r="G657" s="31"/>
      <c r="H657" s="31"/>
    </row>
    <row r="658" spans="6:8" ht="12.75" customHeight="1" x14ac:dyDescent="0.2">
      <c r="F658" s="31"/>
      <c r="G658" s="31"/>
      <c r="H658" s="31"/>
    </row>
    <row r="659" spans="6:8" ht="12.75" customHeight="1" x14ac:dyDescent="0.2">
      <c r="F659" s="31"/>
      <c r="G659" s="31"/>
      <c r="H659" s="31"/>
    </row>
    <row r="660" spans="6:8" ht="12.75" customHeight="1" x14ac:dyDescent="0.2">
      <c r="F660" s="31"/>
      <c r="G660" s="31"/>
      <c r="H660" s="31"/>
    </row>
    <row r="661" spans="6:8" ht="12.75" customHeight="1" x14ac:dyDescent="0.2">
      <c r="F661" s="31"/>
      <c r="G661" s="31"/>
      <c r="H661" s="31"/>
    </row>
    <row r="662" spans="6:8" ht="12.75" customHeight="1" x14ac:dyDescent="0.2">
      <c r="F662" s="31"/>
      <c r="G662" s="31"/>
      <c r="H662" s="31"/>
    </row>
    <row r="663" spans="6:8" ht="12.75" customHeight="1" x14ac:dyDescent="0.2">
      <c r="F663" s="31"/>
      <c r="G663" s="31"/>
      <c r="H663" s="31"/>
    </row>
    <row r="664" spans="6:8" ht="12.75" customHeight="1" x14ac:dyDescent="0.2">
      <c r="F664" s="31"/>
      <c r="G664" s="31"/>
      <c r="H664" s="31"/>
    </row>
    <row r="665" spans="6:8" ht="12.75" customHeight="1" x14ac:dyDescent="0.2">
      <c r="F665" s="31"/>
      <c r="G665" s="31"/>
      <c r="H665" s="31"/>
    </row>
    <row r="666" spans="6:8" ht="12.75" customHeight="1" x14ac:dyDescent="0.2">
      <c r="F666" s="31"/>
      <c r="G666" s="31"/>
      <c r="H666" s="31"/>
    </row>
    <row r="667" spans="6:8" ht="12.75" customHeight="1" x14ac:dyDescent="0.2">
      <c r="F667" s="31"/>
      <c r="G667" s="31"/>
      <c r="H667" s="31"/>
    </row>
    <row r="668" spans="6:8" ht="12.75" customHeight="1" x14ac:dyDescent="0.2">
      <c r="F668" s="31"/>
      <c r="G668" s="31"/>
      <c r="H668" s="31"/>
    </row>
    <row r="669" spans="6:8" ht="12.75" customHeight="1" x14ac:dyDescent="0.2">
      <c r="F669" s="31"/>
      <c r="G669" s="31"/>
      <c r="H669" s="31"/>
    </row>
    <row r="670" spans="6:8" ht="12.75" customHeight="1" x14ac:dyDescent="0.2">
      <c r="F670" s="31"/>
      <c r="G670" s="31"/>
      <c r="H670" s="31"/>
    </row>
    <row r="671" spans="6:8" ht="12.75" customHeight="1" x14ac:dyDescent="0.2">
      <c r="F671" s="31"/>
      <c r="G671" s="31"/>
      <c r="H671" s="31"/>
    </row>
    <row r="672" spans="6:8" ht="12.75" customHeight="1" x14ac:dyDescent="0.2">
      <c r="F672" s="31"/>
      <c r="G672" s="31"/>
      <c r="H672" s="31"/>
    </row>
    <row r="673" spans="6:8" ht="12.75" customHeight="1" x14ac:dyDescent="0.2">
      <c r="F673" s="31"/>
      <c r="G673" s="31"/>
      <c r="H673" s="31"/>
    </row>
    <row r="674" spans="6:8" ht="12.75" customHeight="1" x14ac:dyDescent="0.2">
      <c r="F674" s="31"/>
      <c r="G674" s="31"/>
      <c r="H674" s="31"/>
    </row>
    <row r="675" spans="6:8" ht="12.75" customHeight="1" x14ac:dyDescent="0.2">
      <c r="F675" s="31"/>
      <c r="G675" s="31"/>
      <c r="H675" s="31"/>
    </row>
    <row r="676" spans="6:8" ht="12.75" customHeight="1" x14ac:dyDescent="0.2">
      <c r="F676" s="31"/>
      <c r="G676" s="31"/>
      <c r="H676" s="31"/>
    </row>
    <row r="677" spans="6:8" ht="12.75" customHeight="1" x14ac:dyDescent="0.2">
      <c r="F677" s="31"/>
      <c r="G677" s="31"/>
      <c r="H677" s="31"/>
    </row>
    <row r="678" spans="6:8" ht="12.75" customHeight="1" x14ac:dyDescent="0.2">
      <c r="F678" s="31"/>
      <c r="G678" s="31"/>
      <c r="H678" s="31"/>
    </row>
    <row r="679" spans="6:8" ht="12.75" customHeight="1" x14ac:dyDescent="0.2">
      <c r="F679" s="31"/>
      <c r="G679" s="31"/>
      <c r="H679" s="31"/>
    </row>
    <row r="680" spans="6:8" ht="12.75" customHeight="1" x14ac:dyDescent="0.2">
      <c r="F680" s="31"/>
      <c r="G680" s="31"/>
      <c r="H680" s="31"/>
    </row>
    <row r="681" spans="6:8" ht="12.75" customHeight="1" x14ac:dyDescent="0.2">
      <c r="F681" s="31"/>
      <c r="G681" s="31"/>
      <c r="H681" s="31"/>
    </row>
    <row r="682" spans="6:8" ht="12.75" customHeight="1" x14ac:dyDescent="0.2">
      <c r="F682" s="31"/>
      <c r="G682" s="31"/>
      <c r="H682" s="31"/>
    </row>
    <row r="683" spans="6:8" ht="12.75" customHeight="1" x14ac:dyDescent="0.2">
      <c r="F683" s="31"/>
      <c r="G683" s="31"/>
      <c r="H683" s="31"/>
    </row>
    <row r="684" spans="6:8" ht="12.75" customHeight="1" x14ac:dyDescent="0.2">
      <c r="F684" s="31"/>
      <c r="G684" s="31"/>
      <c r="H684" s="31"/>
    </row>
    <row r="685" spans="6:8" ht="12.75" customHeight="1" x14ac:dyDescent="0.2">
      <c r="F685" s="31"/>
      <c r="G685" s="31"/>
      <c r="H685" s="31"/>
    </row>
    <row r="686" spans="6:8" ht="12.75" customHeight="1" x14ac:dyDescent="0.2">
      <c r="F686" s="31"/>
      <c r="G686" s="31"/>
      <c r="H686" s="31"/>
    </row>
    <row r="687" spans="6:8" ht="12.75" customHeight="1" x14ac:dyDescent="0.2">
      <c r="F687" s="31"/>
      <c r="G687" s="31"/>
      <c r="H687" s="31"/>
    </row>
    <row r="688" spans="6:8" ht="12.75" customHeight="1" x14ac:dyDescent="0.2">
      <c r="F688" s="31"/>
      <c r="G688" s="31"/>
      <c r="H688" s="31"/>
    </row>
    <row r="689" spans="6:8" ht="12.75" customHeight="1" x14ac:dyDescent="0.2">
      <c r="F689" s="31"/>
      <c r="G689" s="31"/>
      <c r="H689" s="31"/>
    </row>
    <row r="690" spans="6:8" ht="12.75" customHeight="1" x14ac:dyDescent="0.2">
      <c r="F690" s="31"/>
      <c r="G690" s="31"/>
      <c r="H690" s="31"/>
    </row>
    <row r="691" spans="6:8" ht="12.75" customHeight="1" x14ac:dyDescent="0.2">
      <c r="F691" s="31"/>
      <c r="G691" s="31"/>
      <c r="H691" s="31"/>
    </row>
    <row r="692" spans="6:8" ht="12.75" customHeight="1" x14ac:dyDescent="0.2">
      <c r="F692" s="31"/>
      <c r="G692" s="31"/>
      <c r="H692" s="31"/>
    </row>
    <row r="693" spans="6:8" ht="12.75" customHeight="1" x14ac:dyDescent="0.2">
      <c r="F693" s="31"/>
      <c r="G693" s="31"/>
      <c r="H693" s="31"/>
    </row>
    <row r="694" spans="6:8" ht="12.75" customHeight="1" x14ac:dyDescent="0.2">
      <c r="F694" s="31"/>
      <c r="G694" s="31"/>
      <c r="H694" s="31"/>
    </row>
    <row r="695" spans="6:8" ht="12.75" customHeight="1" x14ac:dyDescent="0.2">
      <c r="F695" s="31"/>
      <c r="G695" s="31"/>
      <c r="H695" s="31"/>
    </row>
    <row r="696" spans="6:8" ht="12.75" customHeight="1" x14ac:dyDescent="0.2">
      <c r="F696" s="31"/>
      <c r="G696" s="31"/>
      <c r="H696" s="31"/>
    </row>
    <row r="697" spans="6:8" ht="12.75" customHeight="1" x14ac:dyDescent="0.2">
      <c r="F697" s="31"/>
      <c r="G697" s="31"/>
      <c r="H697" s="31"/>
    </row>
    <row r="698" spans="6:8" ht="12.75" customHeight="1" x14ac:dyDescent="0.2">
      <c r="F698" s="31"/>
      <c r="G698" s="31"/>
      <c r="H698" s="31"/>
    </row>
    <row r="699" spans="6:8" ht="12.75" customHeight="1" x14ac:dyDescent="0.2">
      <c r="F699" s="31"/>
      <c r="G699" s="31"/>
      <c r="H699" s="31"/>
    </row>
    <row r="700" spans="6:8" ht="12.75" customHeight="1" x14ac:dyDescent="0.2">
      <c r="F700" s="31"/>
      <c r="G700" s="31"/>
      <c r="H700" s="31"/>
    </row>
    <row r="701" spans="6:8" ht="12.75" customHeight="1" x14ac:dyDescent="0.2">
      <c r="F701" s="31"/>
      <c r="G701" s="31"/>
      <c r="H701" s="31"/>
    </row>
    <row r="702" spans="6:8" ht="12.75" customHeight="1" x14ac:dyDescent="0.2">
      <c r="F702" s="31"/>
      <c r="G702" s="31"/>
      <c r="H702" s="31"/>
    </row>
    <row r="703" spans="6:8" ht="12.75" customHeight="1" x14ac:dyDescent="0.2">
      <c r="F703" s="31"/>
      <c r="G703" s="31"/>
      <c r="H703" s="31"/>
    </row>
    <row r="704" spans="6:8" ht="12.75" customHeight="1" x14ac:dyDescent="0.2">
      <c r="F704" s="31"/>
      <c r="G704" s="31"/>
      <c r="H704" s="31"/>
    </row>
    <row r="705" spans="6:8" ht="12.75" customHeight="1" x14ac:dyDescent="0.2">
      <c r="F705" s="31"/>
      <c r="G705" s="31"/>
      <c r="H705" s="31"/>
    </row>
    <row r="706" spans="6:8" ht="12.75" customHeight="1" x14ac:dyDescent="0.2">
      <c r="F706" s="31"/>
      <c r="G706" s="31"/>
      <c r="H706" s="31"/>
    </row>
    <row r="707" spans="6:8" ht="12.75" customHeight="1" x14ac:dyDescent="0.2">
      <c r="F707" s="31"/>
      <c r="G707" s="31"/>
      <c r="H707" s="31"/>
    </row>
    <row r="708" spans="6:8" ht="12.75" customHeight="1" x14ac:dyDescent="0.2">
      <c r="F708" s="31"/>
      <c r="G708" s="31"/>
      <c r="H708" s="31"/>
    </row>
    <row r="709" spans="6:8" ht="12.75" customHeight="1" x14ac:dyDescent="0.2">
      <c r="F709" s="31"/>
      <c r="G709" s="31"/>
      <c r="H709" s="31"/>
    </row>
    <row r="710" spans="6:8" ht="12.75" customHeight="1" x14ac:dyDescent="0.2">
      <c r="F710" s="31"/>
      <c r="G710" s="31"/>
      <c r="H710" s="31"/>
    </row>
    <row r="711" spans="6:8" ht="12.75" customHeight="1" x14ac:dyDescent="0.2">
      <c r="F711" s="31"/>
      <c r="G711" s="31"/>
      <c r="H711" s="31"/>
    </row>
    <row r="712" spans="6:8" ht="12.75" customHeight="1" x14ac:dyDescent="0.2">
      <c r="F712" s="31"/>
      <c r="G712" s="31"/>
      <c r="H712" s="31"/>
    </row>
    <row r="713" spans="6:8" ht="12.75" customHeight="1" x14ac:dyDescent="0.2">
      <c r="F713" s="31"/>
      <c r="G713" s="31"/>
      <c r="H713" s="31"/>
    </row>
    <row r="714" spans="6:8" ht="12.75" customHeight="1" x14ac:dyDescent="0.2">
      <c r="F714" s="31"/>
      <c r="G714" s="31"/>
      <c r="H714" s="31"/>
    </row>
    <row r="715" spans="6:8" ht="12.75" customHeight="1" x14ac:dyDescent="0.2">
      <c r="F715" s="31"/>
      <c r="G715" s="31"/>
      <c r="H715" s="31"/>
    </row>
    <row r="716" spans="6:8" ht="12.75" customHeight="1" x14ac:dyDescent="0.2">
      <c r="F716" s="31"/>
      <c r="G716" s="31"/>
      <c r="H716" s="31"/>
    </row>
    <row r="717" spans="6:8" ht="12.75" customHeight="1" x14ac:dyDescent="0.2">
      <c r="F717" s="31"/>
      <c r="G717" s="31"/>
      <c r="H717" s="31"/>
    </row>
    <row r="718" spans="6:8" ht="12.75" customHeight="1" x14ac:dyDescent="0.2">
      <c r="F718" s="31"/>
      <c r="G718" s="31"/>
      <c r="H718" s="31"/>
    </row>
    <row r="719" spans="6:8" ht="12.75" customHeight="1" x14ac:dyDescent="0.2">
      <c r="F719" s="31"/>
      <c r="G719" s="31"/>
      <c r="H719" s="31"/>
    </row>
    <row r="720" spans="6:8" ht="12.75" customHeight="1" x14ac:dyDescent="0.2">
      <c r="F720" s="31"/>
      <c r="G720" s="31"/>
      <c r="H720" s="31"/>
    </row>
    <row r="721" spans="6:8" ht="12.75" customHeight="1" x14ac:dyDescent="0.2">
      <c r="F721" s="31"/>
      <c r="G721" s="31"/>
      <c r="H721" s="31"/>
    </row>
    <row r="722" spans="6:8" ht="12.75" customHeight="1" x14ac:dyDescent="0.2">
      <c r="F722" s="31"/>
      <c r="G722" s="31"/>
      <c r="H722" s="31"/>
    </row>
    <row r="723" spans="6:8" ht="12.75" customHeight="1" x14ac:dyDescent="0.2">
      <c r="F723" s="31"/>
      <c r="G723" s="31"/>
      <c r="H723" s="31"/>
    </row>
    <row r="724" spans="6:8" ht="12.75" customHeight="1" x14ac:dyDescent="0.2">
      <c r="F724" s="31"/>
      <c r="G724" s="31"/>
      <c r="H724" s="31"/>
    </row>
    <row r="725" spans="6:8" ht="12.75" customHeight="1" x14ac:dyDescent="0.2">
      <c r="F725" s="31"/>
      <c r="G725" s="31"/>
      <c r="H725" s="31"/>
    </row>
    <row r="726" spans="6:8" ht="12.75" customHeight="1" x14ac:dyDescent="0.2">
      <c r="F726" s="31"/>
      <c r="G726" s="31"/>
      <c r="H726" s="31"/>
    </row>
    <row r="727" spans="6:8" ht="12.75" customHeight="1" x14ac:dyDescent="0.2">
      <c r="F727" s="31"/>
      <c r="G727" s="31"/>
      <c r="H727" s="31"/>
    </row>
    <row r="728" spans="6:8" ht="12.75" customHeight="1" x14ac:dyDescent="0.2">
      <c r="F728" s="31"/>
      <c r="G728" s="31"/>
      <c r="H728" s="31"/>
    </row>
    <row r="729" spans="6:8" ht="12.75" customHeight="1" x14ac:dyDescent="0.2">
      <c r="F729" s="31"/>
      <c r="G729" s="31"/>
      <c r="H729" s="31"/>
    </row>
    <row r="730" spans="6:8" ht="12.75" customHeight="1" x14ac:dyDescent="0.2">
      <c r="F730" s="31"/>
      <c r="G730" s="31"/>
      <c r="H730" s="31"/>
    </row>
    <row r="731" spans="6:8" ht="12.75" customHeight="1" x14ac:dyDescent="0.2">
      <c r="F731" s="31"/>
      <c r="G731" s="31"/>
      <c r="H731" s="31"/>
    </row>
    <row r="732" spans="6:8" ht="12.75" customHeight="1" x14ac:dyDescent="0.2">
      <c r="F732" s="31"/>
      <c r="G732" s="31"/>
      <c r="H732" s="31"/>
    </row>
    <row r="733" spans="6:8" ht="12.75" customHeight="1" x14ac:dyDescent="0.2">
      <c r="F733" s="31"/>
      <c r="G733" s="31"/>
      <c r="H733" s="31"/>
    </row>
    <row r="734" spans="6:8" ht="12.75" customHeight="1" x14ac:dyDescent="0.2">
      <c r="F734" s="31"/>
      <c r="G734" s="31"/>
      <c r="H734" s="31"/>
    </row>
    <row r="735" spans="6:8" ht="12.75" customHeight="1" x14ac:dyDescent="0.2">
      <c r="F735" s="31"/>
      <c r="G735" s="31"/>
      <c r="H735" s="31"/>
    </row>
    <row r="736" spans="6:8" ht="12.75" customHeight="1" x14ac:dyDescent="0.2">
      <c r="F736" s="31"/>
      <c r="G736" s="31"/>
      <c r="H736" s="31"/>
    </row>
    <row r="737" spans="6:8" ht="12.75" customHeight="1" x14ac:dyDescent="0.2">
      <c r="F737" s="31"/>
      <c r="G737" s="31"/>
      <c r="H737" s="31"/>
    </row>
    <row r="738" spans="6:8" ht="12.75" customHeight="1" x14ac:dyDescent="0.2">
      <c r="F738" s="31"/>
      <c r="G738" s="31"/>
      <c r="H738" s="31"/>
    </row>
    <row r="739" spans="6:8" ht="12.75" customHeight="1" x14ac:dyDescent="0.2">
      <c r="F739" s="31"/>
      <c r="G739" s="31"/>
      <c r="H739" s="31"/>
    </row>
    <row r="740" spans="6:8" ht="12.75" customHeight="1" x14ac:dyDescent="0.2">
      <c r="F740" s="31"/>
      <c r="G740" s="31"/>
      <c r="H740" s="31"/>
    </row>
    <row r="741" spans="6:8" ht="12.75" customHeight="1" x14ac:dyDescent="0.2">
      <c r="F741" s="31"/>
      <c r="G741" s="31"/>
      <c r="H741" s="31"/>
    </row>
    <row r="742" spans="6:8" ht="12.75" customHeight="1" x14ac:dyDescent="0.2">
      <c r="F742" s="31"/>
      <c r="G742" s="31"/>
      <c r="H742" s="31"/>
    </row>
    <row r="743" spans="6:8" ht="12.75" customHeight="1" x14ac:dyDescent="0.2">
      <c r="F743" s="31"/>
      <c r="G743" s="31"/>
      <c r="H743" s="31"/>
    </row>
    <row r="744" spans="6:8" ht="12.75" customHeight="1" x14ac:dyDescent="0.2">
      <c r="F744" s="31"/>
      <c r="G744" s="31"/>
      <c r="H744" s="31"/>
    </row>
    <row r="745" spans="6:8" ht="12.75" customHeight="1" x14ac:dyDescent="0.2">
      <c r="F745" s="31"/>
      <c r="G745" s="31"/>
      <c r="H745" s="31"/>
    </row>
    <row r="746" spans="6:8" ht="12.75" customHeight="1" x14ac:dyDescent="0.2">
      <c r="F746" s="31"/>
      <c r="G746" s="31"/>
      <c r="H746" s="31"/>
    </row>
    <row r="747" spans="6:8" ht="12.75" customHeight="1" x14ac:dyDescent="0.2">
      <c r="F747" s="31"/>
      <c r="G747" s="31"/>
      <c r="H747" s="31"/>
    </row>
    <row r="748" spans="6:8" ht="12.75" customHeight="1" x14ac:dyDescent="0.2">
      <c r="F748" s="31"/>
      <c r="G748" s="31"/>
      <c r="H748" s="31"/>
    </row>
    <row r="749" spans="6:8" ht="12.75" customHeight="1" x14ac:dyDescent="0.2">
      <c r="F749" s="31"/>
      <c r="G749" s="31"/>
      <c r="H749" s="31"/>
    </row>
    <row r="750" spans="6:8" ht="12.75" customHeight="1" x14ac:dyDescent="0.2">
      <c r="F750" s="31"/>
      <c r="G750" s="31"/>
      <c r="H750" s="31"/>
    </row>
    <row r="751" spans="6:8" ht="12.75" customHeight="1" x14ac:dyDescent="0.2">
      <c r="F751" s="31"/>
      <c r="G751" s="31"/>
      <c r="H751" s="31"/>
    </row>
    <row r="752" spans="6:8" ht="12.75" customHeight="1" x14ac:dyDescent="0.2">
      <c r="F752" s="31"/>
      <c r="G752" s="31"/>
      <c r="H752" s="31"/>
    </row>
    <row r="753" spans="6:8" ht="12.75" customHeight="1" x14ac:dyDescent="0.2">
      <c r="F753" s="31"/>
      <c r="G753" s="31"/>
      <c r="H753" s="31"/>
    </row>
    <row r="754" spans="6:8" ht="12.75" customHeight="1" x14ac:dyDescent="0.2">
      <c r="F754" s="31"/>
      <c r="G754" s="31"/>
      <c r="H754" s="31"/>
    </row>
    <row r="755" spans="6:8" ht="12.75" customHeight="1" x14ac:dyDescent="0.2">
      <c r="F755" s="31"/>
      <c r="G755" s="31"/>
      <c r="H755" s="31"/>
    </row>
    <row r="756" spans="6:8" ht="12.75" customHeight="1" x14ac:dyDescent="0.2">
      <c r="F756" s="31"/>
      <c r="G756" s="31"/>
      <c r="H756" s="31"/>
    </row>
    <row r="757" spans="6:8" ht="12.75" customHeight="1" x14ac:dyDescent="0.2">
      <c r="F757" s="31"/>
      <c r="G757" s="31"/>
      <c r="H757" s="31"/>
    </row>
    <row r="758" spans="6:8" ht="12.75" customHeight="1" x14ac:dyDescent="0.2">
      <c r="F758" s="31"/>
      <c r="G758" s="31"/>
      <c r="H758" s="31"/>
    </row>
    <row r="759" spans="6:8" ht="12.75" customHeight="1" x14ac:dyDescent="0.2">
      <c r="F759" s="31"/>
      <c r="G759" s="31"/>
      <c r="H759" s="31"/>
    </row>
    <row r="760" spans="6:8" ht="12.75" customHeight="1" x14ac:dyDescent="0.2">
      <c r="F760" s="31"/>
      <c r="G760" s="31"/>
      <c r="H760" s="31"/>
    </row>
    <row r="761" spans="6:8" ht="12.75" customHeight="1" x14ac:dyDescent="0.2">
      <c r="F761" s="31"/>
      <c r="G761" s="31"/>
      <c r="H761" s="31"/>
    </row>
    <row r="762" spans="6:8" ht="12.75" customHeight="1" x14ac:dyDescent="0.2">
      <c r="F762" s="31"/>
      <c r="G762" s="31"/>
      <c r="H762" s="31"/>
    </row>
    <row r="763" spans="6:8" ht="12.75" customHeight="1" x14ac:dyDescent="0.2">
      <c r="F763" s="31"/>
      <c r="G763" s="31"/>
      <c r="H763" s="31"/>
    </row>
    <row r="764" spans="6:8" ht="12.75" customHeight="1" x14ac:dyDescent="0.2">
      <c r="F764" s="31"/>
      <c r="G764" s="31"/>
      <c r="H764" s="31"/>
    </row>
    <row r="765" spans="6:8" ht="12.75" customHeight="1" x14ac:dyDescent="0.2">
      <c r="F765" s="31"/>
      <c r="G765" s="31"/>
      <c r="H765" s="31"/>
    </row>
    <row r="766" spans="6:8" ht="12.75" customHeight="1" x14ac:dyDescent="0.2">
      <c r="F766" s="31"/>
      <c r="G766" s="31"/>
      <c r="H766" s="31"/>
    </row>
    <row r="767" spans="6:8" ht="12.75" customHeight="1" x14ac:dyDescent="0.2">
      <c r="F767" s="31"/>
      <c r="G767" s="31"/>
      <c r="H767" s="31"/>
    </row>
    <row r="768" spans="6:8" ht="12.75" customHeight="1" x14ac:dyDescent="0.2">
      <c r="F768" s="31"/>
      <c r="G768" s="31"/>
      <c r="H768" s="31"/>
    </row>
    <row r="769" spans="6:8" ht="12.75" customHeight="1" x14ac:dyDescent="0.2">
      <c r="F769" s="31"/>
      <c r="G769" s="31"/>
      <c r="H769" s="31"/>
    </row>
    <row r="770" spans="6:8" ht="12.75" customHeight="1" x14ac:dyDescent="0.2">
      <c r="F770" s="31"/>
      <c r="G770" s="31"/>
      <c r="H770" s="31"/>
    </row>
    <row r="771" spans="6:8" ht="12.75" customHeight="1" x14ac:dyDescent="0.2">
      <c r="F771" s="31"/>
      <c r="G771" s="31"/>
      <c r="H771" s="31"/>
    </row>
    <row r="772" spans="6:8" ht="12.75" customHeight="1" x14ac:dyDescent="0.2">
      <c r="F772" s="31"/>
      <c r="G772" s="31"/>
      <c r="H772" s="31"/>
    </row>
    <row r="773" spans="6:8" ht="12.75" customHeight="1" x14ac:dyDescent="0.2">
      <c r="F773" s="31"/>
      <c r="G773" s="31"/>
      <c r="H773" s="31"/>
    </row>
    <row r="774" spans="6:8" ht="12.75" customHeight="1" x14ac:dyDescent="0.2">
      <c r="F774" s="31"/>
      <c r="G774" s="31"/>
      <c r="H774" s="31"/>
    </row>
    <row r="775" spans="6:8" ht="12.75" customHeight="1" x14ac:dyDescent="0.2">
      <c r="F775" s="31"/>
      <c r="G775" s="31"/>
      <c r="H775" s="31"/>
    </row>
    <row r="776" spans="6:8" ht="12.75" customHeight="1" x14ac:dyDescent="0.2">
      <c r="F776" s="31"/>
      <c r="G776" s="31"/>
      <c r="H776" s="31"/>
    </row>
    <row r="777" spans="6:8" ht="12.75" customHeight="1" x14ac:dyDescent="0.2">
      <c r="F777" s="31"/>
      <c r="G777" s="31"/>
      <c r="H777" s="31"/>
    </row>
    <row r="778" spans="6:8" ht="12.75" customHeight="1" x14ac:dyDescent="0.2">
      <c r="F778" s="31"/>
      <c r="G778" s="31"/>
      <c r="H778" s="31"/>
    </row>
    <row r="779" spans="6:8" ht="12.75" customHeight="1" x14ac:dyDescent="0.2">
      <c r="F779" s="31"/>
      <c r="G779" s="31"/>
      <c r="H779" s="31"/>
    </row>
    <row r="780" spans="6:8" ht="12.75" customHeight="1" x14ac:dyDescent="0.2">
      <c r="F780" s="31"/>
      <c r="G780" s="31"/>
      <c r="H780" s="31"/>
    </row>
    <row r="781" spans="6:8" ht="12.75" customHeight="1" x14ac:dyDescent="0.2">
      <c r="F781" s="31"/>
      <c r="G781" s="31"/>
      <c r="H781" s="31"/>
    </row>
    <row r="782" spans="6:8" ht="12.75" customHeight="1" x14ac:dyDescent="0.2">
      <c r="F782" s="31"/>
      <c r="G782" s="31"/>
      <c r="H782" s="31"/>
    </row>
    <row r="783" spans="6:8" ht="12.75" customHeight="1" x14ac:dyDescent="0.2">
      <c r="F783" s="31"/>
      <c r="G783" s="31"/>
      <c r="H783" s="31"/>
    </row>
    <row r="784" spans="6:8" ht="12.75" customHeight="1" x14ac:dyDescent="0.2">
      <c r="F784" s="31"/>
      <c r="G784" s="31"/>
      <c r="H784" s="31"/>
    </row>
    <row r="785" spans="6:8" ht="12.75" customHeight="1" x14ac:dyDescent="0.2">
      <c r="F785" s="31"/>
      <c r="G785" s="31"/>
      <c r="H785" s="31"/>
    </row>
    <row r="786" spans="6:8" ht="12.75" customHeight="1" x14ac:dyDescent="0.2">
      <c r="F786" s="31"/>
      <c r="G786" s="31"/>
      <c r="H786" s="31"/>
    </row>
    <row r="787" spans="6:8" ht="12.75" customHeight="1" x14ac:dyDescent="0.2">
      <c r="F787" s="31"/>
      <c r="G787" s="31"/>
      <c r="H787" s="31"/>
    </row>
    <row r="788" spans="6:8" ht="12.75" customHeight="1" x14ac:dyDescent="0.2">
      <c r="F788" s="31"/>
      <c r="G788" s="31"/>
      <c r="H788" s="31"/>
    </row>
    <row r="789" spans="6:8" ht="12.75" customHeight="1" x14ac:dyDescent="0.2">
      <c r="F789" s="31"/>
      <c r="G789" s="31"/>
      <c r="H789" s="31"/>
    </row>
    <row r="790" spans="6:8" ht="12.75" customHeight="1" x14ac:dyDescent="0.2">
      <c r="F790" s="31"/>
      <c r="G790" s="31"/>
      <c r="H790" s="31"/>
    </row>
    <row r="791" spans="6:8" ht="12.75" customHeight="1" x14ac:dyDescent="0.2">
      <c r="F791" s="31"/>
      <c r="G791" s="31"/>
      <c r="H791" s="31"/>
    </row>
    <row r="792" spans="6:8" ht="12.75" customHeight="1" x14ac:dyDescent="0.2">
      <c r="F792" s="31"/>
      <c r="G792" s="31"/>
      <c r="H792" s="31"/>
    </row>
    <row r="793" spans="6:8" ht="12.75" customHeight="1" x14ac:dyDescent="0.2">
      <c r="F793" s="31"/>
      <c r="G793" s="31"/>
      <c r="H793" s="31"/>
    </row>
    <row r="794" spans="6:8" ht="12.75" customHeight="1" x14ac:dyDescent="0.2">
      <c r="F794" s="31"/>
      <c r="G794" s="31"/>
      <c r="H794" s="31"/>
    </row>
    <row r="795" spans="6:8" ht="12.75" customHeight="1" x14ac:dyDescent="0.2">
      <c r="F795" s="31"/>
      <c r="G795" s="31"/>
      <c r="H795" s="31"/>
    </row>
    <row r="796" spans="6:8" ht="12.75" customHeight="1" x14ac:dyDescent="0.2">
      <c r="F796" s="31"/>
      <c r="G796" s="31"/>
      <c r="H796" s="31"/>
    </row>
    <row r="797" spans="6:8" ht="12.75" customHeight="1" x14ac:dyDescent="0.2">
      <c r="F797" s="31"/>
      <c r="G797" s="31"/>
      <c r="H797" s="31"/>
    </row>
    <row r="798" spans="6:8" ht="12.75" customHeight="1" x14ac:dyDescent="0.2">
      <c r="F798" s="31"/>
      <c r="G798" s="31"/>
      <c r="H798" s="31"/>
    </row>
    <row r="799" spans="6:8" ht="12.75" customHeight="1" x14ac:dyDescent="0.2">
      <c r="F799" s="31"/>
      <c r="G799" s="31"/>
      <c r="H799" s="31"/>
    </row>
    <row r="800" spans="6:8" ht="12.75" customHeight="1" x14ac:dyDescent="0.2">
      <c r="F800" s="31"/>
      <c r="G800" s="31"/>
      <c r="H800" s="31"/>
    </row>
    <row r="801" spans="6:8" ht="12.75" customHeight="1" x14ac:dyDescent="0.2">
      <c r="F801" s="31"/>
      <c r="G801" s="31"/>
      <c r="H801" s="31"/>
    </row>
    <row r="802" spans="6:8" ht="12.75" customHeight="1" x14ac:dyDescent="0.2">
      <c r="F802" s="31"/>
      <c r="G802" s="31"/>
      <c r="H802" s="31"/>
    </row>
    <row r="803" spans="6:8" ht="12.75" customHeight="1" x14ac:dyDescent="0.2">
      <c r="F803" s="31"/>
      <c r="G803" s="31"/>
      <c r="H803" s="31"/>
    </row>
    <row r="804" spans="6:8" ht="12.75" customHeight="1" x14ac:dyDescent="0.2">
      <c r="F804" s="31"/>
      <c r="G804" s="31"/>
      <c r="H804" s="31"/>
    </row>
    <row r="805" spans="6:8" ht="12.75" customHeight="1" x14ac:dyDescent="0.2">
      <c r="F805" s="31"/>
      <c r="G805" s="31"/>
      <c r="H805" s="31"/>
    </row>
    <row r="806" spans="6:8" ht="12.75" customHeight="1" x14ac:dyDescent="0.2">
      <c r="F806" s="31"/>
      <c r="G806" s="31"/>
      <c r="H806" s="31"/>
    </row>
    <row r="807" spans="6:8" ht="12.75" customHeight="1" x14ac:dyDescent="0.2">
      <c r="F807" s="31"/>
      <c r="G807" s="31"/>
      <c r="H807" s="31"/>
    </row>
    <row r="808" spans="6:8" ht="12.75" customHeight="1" x14ac:dyDescent="0.2">
      <c r="F808" s="31"/>
      <c r="G808" s="31"/>
      <c r="H808" s="31"/>
    </row>
    <row r="809" spans="6:8" ht="12.75" customHeight="1" x14ac:dyDescent="0.2">
      <c r="F809" s="31"/>
      <c r="G809" s="31"/>
      <c r="H809" s="31"/>
    </row>
    <row r="810" spans="6:8" ht="12.75" customHeight="1" x14ac:dyDescent="0.2">
      <c r="F810" s="31"/>
      <c r="G810" s="31"/>
      <c r="H810" s="31"/>
    </row>
    <row r="811" spans="6:8" ht="12.75" customHeight="1" x14ac:dyDescent="0.2">
      <c r="F811" s="31"/>
      <c r="G811" s="31"/>
      <c r="H811" s="31"/>
    </row>
    <row r="812" spans="6:8" ht="12.75" customHeight="1" x14ac:dyDescent="0.2">
      <c r="F812" s="31"/>
      <c r="G812" s="31"/>
      <c r="H812" s="31"/>
    </row>
    <row r="813" spans="6:8" ht="12.75" customHeight="1" x14ac:dyDescent="0.2">
      <c r="F813" s="31"/>
      <c r="G813" s="31"/>
      <c r="H813" s="31"/>
    </row>
    <row r="814" spans="6:8" ht="12.75" customHeight="1" x14ac:dyDescent="0.2">
      <c r="F814" s="31"/>
      <c r="G814" s="31"/>
      <c r="H814" s="31"/>
    </row>
    <row r="815" spans="6:8" ht="12.75" customHeight="1" x14ac:dyDescent="0.2">
      <c r="F815" s="31"/>
      <c r="G815" s="31"/>
      <c r="H815" s="31"/>
    </row>
    <row r="816" spans="6:8" ht="12.75" customHeight="1" x14ac:dyDescent="0.2">
      <c r="F816" s="31"/>
      <c r="G816" s="31"/>
      <c r="H816" s="31"/>
    </row>
    <row r="817" spans="6:8" ht="12.75" customHeight="1" x14ac:dyDescent="0.2">
      <c r="F817" s="31"/>
      <c r="G817" s="31"/>
      <c r="H817" s="31"/>
    </row>
    <row r="818" spans="6:8" ht="12.75" customHeight="1" x14ac:dyDescent="0.2">
      <c r="F818" s="31"/>
      <c r="G818" s="31"/>
      <c r="H818" s="31"/>
    </row>
    <row r="819" spans="6:8" ht="12.75" customHeight="1" x14ac:dyDescent="0.2">
      <c r="F819" s="31"/>
      <c r="G819" s="31"/>
      <c r="H819" s="31"/>
    </row>
    <row r="820" spans="6:8" ht="12.75" customHeight="1" x14ac:dyDescent="0.2">
      <c r="F820" s="31"/>
      <c r="G820" s="31"/>
      <c r="H820" s="31"/>
    </row>
    <row r="821" spans="6:8" ht="12.75" customHeight="1" x14ac:dyDescent="0.2">
      <c r="F821" s="31"/>
      <c r="G821" s="31"/>
      <c r="H821" s="31"/>
    </row>
    <row r="822" spans="6:8" ht="12.75" customHeight="1" x14ac:dyDescent="0.2">
      <c r="F822" s="31"/>
      <c r="G822" s="31"/>
      <c r="H822" s="31"/>
    </row>
    <row r="823" spans="6:8" ht="12.75" customHeight="1" x14ac:dyDescent="0.2">
      <c r="F823" s="31"/>
      <c r="G823" s="31"/>
      <c r="H823" s="31"/>
    </row>
    <row r="824" spans="6:8" ht="12.75" customHeight="1" x14ac:dyDescent="0.2">
      <c r="F824" s="31"/>
      <c r="G824" s="31"/>
      <c r="H824" s="31"/>
    </row>
    <row r="825" spans="6:8" ht="12.75" customHeight="1" x14ac:dyDescent="0.2">
      <c r="F825" s="31"/>
      <c r="G825" s="31"/>
      <c r="H825" s="31"/>
    </row>
    <row r="826" spans="6:8" ht="12.75" customHeight="1" x14ac:dyDescent="0.2">
      <c r="F826" s="31"/>
      <c r="G826" s="31"/>
      <c r="H826" s="31"/>
    </row>
    <row r="827" spans="6:8" ht="12.75" customHeight="1" x14ac:dyDescent="0.2">
      <c r="F827" s="31"/>
      <c r="G827" s="31"/>
      <c r="H827" s="31"/>
    </row>
    <row r="828" spans="6:8" ht="12.75" customHeight="1" x14ac:dyDescent="0.2">
      <c r="F828" s="31"/>
      <c r="G828" s="31"/>
      <c r="H828" s="31"/>
    </row>
    <row r="829" spans="6:8" ht="12.75" customHeight="1" x14ac:dyDescent="0.2">
      <c r="F829" s="31"/>
      <c r="G829" s="31"/>
      <c r="H829" s="31"/>
    </row>
    <row r="830" spans="6:8" ht="12.75" customHeight="1" x14ac:dyDescent="0.2">
      <c r="F830" s="31"/>
      <c r="G830" s="31"/>
      <c r="H830" s="31"/>
    </row>
    <row r="831" spans="6:8" ht="12.75" customHeight="1" x14ac:dyDescent="0.2">
      <c r="F831" s="31"/>
      <c r="G831" s="31"/>
      <c r="H831" s="31"/>
    </row>
    <row r="832" spans="6:8" ht="12.75" customHeight="1" x14ac:dyDescent="0.2">
      <c r="F832" s="31"/>
      <c r="G832" s="31"/>
      <c r="H832" s="31"/>
    </row>
    <row r="833" spans="6:8" ht="12.75" customHeight="1" x14ac:dyDescent="0.2">
      <c r="F833" s="31"/>
      <c r="G833" s="31"/>
      <c r="H833" s="31"/>
    </row>
    <row r="834" spans="6:8" ht="12.75" customHeight="1" x14ac:dyDescent="0.2">
      <c r="F834" s="31"/>
      <c r="G834" s="31"/>
      <c r="H834" s="31"/>
    </row>
    <row r="835" spans="6:8" ht="12.75" customHeight="1" x14ac:dyDescent="0.2">
      <c r="F835" s="31"/>
      <c r="G835" s="31"/>
      <c r="H835" s="31"/>
    </row>
    <row r="836" spans="6:8" ht="12.75" customHeight="1" x14ac:dyDescent="0.2">
      <c r="F836" s="31"/>
      <c r="G836" s="31"/>
      <c r="H836" s="31"/>
    </row>
    <row r="837" spans="6:8" ht="12.75" customHeight="1" x14ac:dyDescent="0.2">
      <c r="F837" s="31"/>
      <c r="G837" s="31"/>
      <c r="H837" s="31"/>
    </row>
    <row r="838" spans="6:8" ht="12.75" customHeight="1" x14ac:dyDescent="0.2">
      <c r="F838" s="31"/>
      <c r="G838" s="31"/>
      <c r="H838" s="31"/>
    </row>
    <row r="839" spans="6:8" ht="12.75" customHeight="1" x14ac:dyDescent="0.2">
      <c r="F839" s="31"/>
      <c r="G839" s="31"/>
      <c r="H839" s="31"/>
    </row>
    <row r="840" spans="6:8" ht="12.75" customHeight="1" x14ac:dyDescent="0.2">
      <c r="F840" s="31"/>
      <c r="G840" s="31"/>
      <c r="H840" s="31"/>
    </row>
    <row r="841" spans="6:8" ht="12.75" customHeight="1" x14ac:dyDescent="0.2">
      <c r="F841" s="31"/>
      <c r="G841" s="31"/>
      <c r="H841" s="31"/>
    </row>
    <row r="842" spans="6:8" ht="12.75" customHeight="1" x14ac:dyDescent="0.2">
      <c r="F842" s="31"/>
      <c r="G842" s="31"/>
      <c r="H842" s="31"/>
    </row>
    <row r="843" spans="6:8" ht="12.75" customHeight="1" x14ac:dyDescent="0.2">
      <c r="F843" s="31"/>
      <c r="G843" s="31"/>
      <c r="H843" s="31"/>
    </row>
    <row r="844" spans="6:8" ht="12.75" customHeight="1" x14ac:dyDescent="0.2">
      <c r="F844" s="31"/>
      <c r="G844" s="31"/>
      <c r="H844" s="31"/>
    </row>
    <row r="845" spans="6:8" ht="12.75" customHeight="1" x14ac:dyDescent="0.2">
      <c r="F845" s="31"/>
      <c r="G845" s="31"/>
      <c r="H845" s="31"/>
    </row>
    <row r="846" spans="6:8" ht="12.75" customHeight="1" x14ac:dyDescent="0.2">
      <c r="F846" s="31"/>
      <c r="G846" s="31"/>
      <c r="H846" s="31"/>
    </row>
    <row r="847" spans="6:8" ht="12.75" customHeight="1" x14ac:dyDescent="0.2">
      <c r="F847" s="31"/>
      <c r="G847" s="31"/>
      <c r="H847" s="31"/>
    </row>
    <row r="848" spans="6:8" ht="12.75" customHeight="1" x14ac:dyDescent="0.2">
      <c r="F848" s="31"/>
      <c r="G848" s="31"/>
      <c r="H848" s="31"/>
    </row>
    <row r="849" spans="6:8" ht="12.75" customHeight="1" x14ac:dyDescent="0.2">
      <c r="F849" s="31"/>
      <c r="G849" s="31"/>
      <c r="H849" s="31"/>
    </row>
    <row r="850" spans="6:8" ht="12.75" customHeight="1" x14ac:dyDescent="0.2">
      <c r="F850" s="31"/>
      <c r="G850" s="31"/>
      <c r="H850" s="31"/>
    </row>
    <row r="851" spans="6:8" ht="12.75" customHeight="1" x14ac:dyDescent="0.2">
      <c r="F851" s="31"/>
      <c r="G851" s="31"/>
      <c r="H851" s="31"/>
    </row>
    <row r="852" spans="6:8" ht="12.75" customHeight="1" x14ac:dyDescent="0.2">
      <c r="F852" s="31"/>
      <c r="G852" s="31"/>
      <c r="H852" s="31"/>
    </row>
    <row r="853" spans="6:8" ht="12.75" customHeight="1" x14ac:dyDescent="0.2">
      <c r="F853" s="31"/>
      <c r="G853" s="31"/>
      <c r="H853" s="31"/>
    </row>
    <row r="854" spans="6:8" ht="12.75" customHeight="1" x14ac:dyDescent="0.2">
      <c r="F854" s="31"/>
      <c r="G854" s="31"/>
      <c r="H854" s="31"/>
    </row>
    <row r="855" spans="6:8" ht="12.75" customHeight="1" x14ac:dyDescent="0.2">
      <c r="F855" s="31"/>
      <c r="G855" s="31"/>
      <c r="H855" s="31"/>
    </row>
    <row r="856" spans="6:8" ht="12.75" customHeight="1" x14ac:dyDescent="0.2">
      <c r="F856" s="31"/>
      <c r="G856" s="31"/>
      <c r="H856" s="31"/>
    </row>
    <row r="857" spans="6:8" ht="12.75" customHeight="1" x14ac:dyDescent="0.2">
      <c r="F857" s="31"/>
      <c r="G857" s="31"/>
      <c r="H857" s="31"/>
    </row>
    <row r="858" spans="6:8" ht="12.75" customHeight="1" x14ac:dyDescent="0.2">
      <c r="F858" s="31"/>
      <c r="G858" s="31"/>
      <c r="H858" s="31"/>
    </row>
    <row r="859" spans="6:8" ht="12.75" customHeight="1" x14ac:dyDescent="0.2">
      <c r="F859" s="31"/>
      <c r="G859" s="31"/>
      <c r="H859" s="31"/>
    </row>
    <row r="860" spans="6:8" ht="12.75" customHeight="1" x14ac:dyDescent="0.2">
      <c r="F860" s="31"/>
      <c r="G860" s="31"/>
      <c r="H860" s="31"/>
    </row>
    <row r="861" spans="6:8" ht="12.75" customHeight="1" x14ac:dyDescent="0.2">
      <c r="F861" s="31"/>
      <c r="G861" s="31"/>
      <c r="H861" s="31"/>
    </row>
    <row r="862" spans="6:8" ht="12.75" customHeight="1" x14ac:dyDescent="0.2">
      <c r="F862" s="31"/>
      <c r="G862" s="31"/>
      <c r="H862" s="31"/>
    </row>
    <row r="863" spans="6:8" ht="12.75" customHeight="1" x14ac:dyDescent="0.2">
      <c r="F863" s="31"/>
      <c r="G863" s="31"/>
      <c r="H863" s="31"/>
    </row>
    <row r="864" spans="6:8" ht="12.75" customHeight="1" x14ac:dyDescent="0.2">
      <c r="F864" s="31"/>
      <c r="G864" s="31"/>
      <c r="H864" s="31"/>
    </row>
    <row r="865" spans="6:8" ht="12.75" customHeight="1" x14ac:dyDescent="0.2">
      <c r="F865" s="31"/>
      <c r="G865" s="31"/>
      <c r="H865" s="31"/>
    </row>
    <row r="866" spans="6:8" ht="12.75" customHeight="1" x14ac:dyDescent="0.2">
      <c r="F866" s="31"/>
      <c r="G866" s="31"/>
      <c r="H866" s="31"/>
    </row>
    <row r="867" spans="6:8" ht="12.75" customHeight="1" x14ac:dyDescent="0.2">
      <c r="F867" s="31"/>
      <c r="G867" s="31"/>
      <c r="H867" s="31"/>
    </row>
    <row r="868" spans="6:8" ht="12.75" customHeight="1" x14ac:dyDescent="0.2">
      <c r="F868" s="31"/>
      <c r="G868" s="31"/>
      <c r="H868" s="31"/>
    </row>
    <row r="869" spans="6:8" ht="12.75" customHeight="1" x14ac:dyDescent="0.2">
      <c r="F869" s="31"/>
      <c r="G869" s="31"/>
      <c r="H869" s="31"/>
    </row>
    <row r="870" spans="6:8" ht="12.75" customHeight="1" x14ac:dyDescent="0.2">
      <c r="F870" s="31"/>
      <c r="G870" s="31"/>
      <c r="H870" s="31"/>
    </row>
    <row r="871" spans="6:8" ht="12.75" customHeight="1" x14ac:dyDescent="0.2">
      <c r="F871" s="31"/>
      <c r="G871" s="31"/>
      <c r="H871" s="31"/>
    </row>
    <row r="872" spans="6:8" ht="12.75" customHeight="1" x14ac:dyDescent="0.2">
      <c r="F872" s="31"/>
      <c r="G872" s="31"/>
      <c r="H872" s="31"/>
    </row>
    <row r="873" spans="6:8" ht="12.75" customHeight="1" x14ac:dyDescent="0.2">
      <c r="F873" s="31"/>
      <c r="G873" s="31"/>
      <c r="H873" s="31"/>
    </row>
    <row r="874" spans="6:8" ht="12.75" customHeight="1" x14ac:dyDescent="0.2">
      <c r="F874" s="31"/>
      <c r="G874" s="31"/>
      <c r="H874" s="31"/>
    </row>
    <row r="875" spans="6:8" ht="12.75" customHeight="1" x14ac:dyDescent="0.2">
      <c r="F875" s="31"/>
      <c r="G875" s="31"/>
      <c r="H875" s="31"/>
    </row>
    <row r="876" spans="6:8" ht="12.75" customHeight="1" x14ac:dyDescent="0.2">
      <c r="F876" s="31"/>
      <c r="G876" s="31"/>
      <c r="H876" s="31"/>
    </row>
    <row r="877" spans="6:8" ht="12.75" customHeight="1" x14ac:dyDescent="0.2">
      <c r="F877" s="31"/>
      <c r="G877" s="31"/>
      <c r="H877" s="31"/>
    </row>
    <row r="878" spans="6:8" ht="12.75" customHeight="1" x14ac:dyDescent="0.2">
      <c r="F878" s="31"/>
      <c r="G878" s="31"/>
      <c r="H878" s="31"/>
    </row>
    <row r="879" spans="6:8" ht="12.75" customHeight="1" x14ac:dyDescent="0.2">
      <c r="F879" s="31"/>
      <c r="G879" s="31"/>
      <c r="H879" s="31"/>
    </row>
    <row r="880" spans="6:8" ht="12.75" customHeight="1" x14ac:dyDescent="0.2">
      <c r="F880" s="31"/>
      <c r="G880" s="31"/>
      <c r="H880" s="31"/>
    </row>
    <row r="881" spans="6:8" ht="12.75" customHeight="1" x14ac:dyDescent="0.2">
      <c r="F881" s="31"/>
      <c r="G881" s="31"/>
      <c r="H881" s="31"/>
    </row>
    <row r="882" spans="6:8" ht="12.75" customHeight="1" x14ac:dyDescent="0.2">
      <c r="F882" s="31"/>
      <c r="G882" s="31"/>
      <c r="H882" s="31"/>
    </row>
    <row r="883" spans="6:8" ht="12.75" customHeight="1" x14ac:dyDescent="0.2">
      <c r="F883" s="31"/>
      <c r="G883" s="31"/>
      <c r="H883" s="31"/>
    </row>
    <row r="884" spans="6:8" ht="12.75" customHeight="1" x14ac:dyDescent="0.2">
      <c r="F884" s="31"/>
      <c r="G884" s="31"/>
      <c r="H884" s="31"/>
    </row>
    <row r="885" spans="6:8" ht="12.75" customHeight="1" x14ac:dyDescent="0.2">
      <c r="F885" s="31"/>
      <c r="G885" s="31"/>
      <c r="H885" s="31"/>
    </row>
    <row r="886" spans="6:8" ht="12.75" customHeight="1" x14ac:dyDescent="0.2">
      <c r="F886" s="31"/>
      <c r="G886" s="31"/>
      <c r="H886" s="31"/>
    </row>
    <row r="887" spans="6:8" ht="12.75" customHeight="1" x14ac:dyDescent="0.2">
      <c r="F887" s="31"/>
      <c r="G887" s="31"/>
      <c r="H887" s="31"/>
    </row>
    <row r="888" spans="6:8" ht="12.75" customHeight="1" x14ac:dyDescent="0.2">
      <c r="F888" s="31"/>
      <c r="G888" s="31"/>
      <c r="H888" s="31"/>
    </row>
    <row r="889" spans="6:8" ht="12.75" customHeight="1" x14ac:dyDescent="0.2">
      <c r="F889" s="31"/>
      <c r="G889" s="31"/>
      <c r="H889" s="31"/>
    </row>
    <row r="890" spans="6:8" ht="12.75" customHeight="1" x14ac:dyDescent="0.2">
      <c r="F890" s="31"/>
      <c r="G890" s="31"/>
      <c r="H890" s="31"/>
    </row>
    <row r="891" spans="6:8" ht="12.75" customHeight="1" x14ac:dyDescent="0.2">
      <c r="F891" s="31"/>
      <c r="G891" s="31"/>
      <c r="H891" s="31"/>
    </row>
    <row r="892" spans="6:8" ht="12.75" customHeight="1" x14ac:dyDescent="0.2">
      <c r="F892" s="31"/>
      <c r="G892" s="31"/>
      <c r="H892" s="31"/>
    </row>
    <row r="893" spans="6:8" ht="12.75" customHeight="1" x14ac:dyDescent="0.2">
      <c r="F893" s="31"/>
      <c r="G893" s="31"/>
      <c r="H893" s="31"/>
    </row>
    <row r="894" spans="6:8" ht="12.75" customHeight="1" x14ac:dyDescent="0.2">
      <c r="F894" s="31"/>
      <c r="G894" s="31"/>
      <c r="H894" s="31"/>
    </row>
    <row r="895" spans="6:8" ht="12.75" customHeight="1" x14ac:dyDescent="0.2">
      <c r="F895" s="31"/>
      <c r="G895" s="31"/>
      <c r="H895" s="31"/>
    </row>
    <row r="896" spans="6:8" ht="12.75" customHeight="1" x14ac:dyDescent="0.2">
      <c r="F896" s="31"/>
      <c r="G896" s="31"/>
      <c r="H896" s="31"/>
    </row>
    <row r="897" spans="6:8" ht="12.75" customHeight="1" x14ac:dyDescent="0.2">
      <c r="F897" s="31"/>
      <c r="G897" s="31"/>
      <c r="H897" s="31"/>
    </row>
    <row r="898" spans="6:8" ht="12.75" customHeight="1" x14ac:dyDescent="0.2">
      <c r="F898" s="31"/>
      <c r="G898" s="31"/>
      <c r="H898" s="31"/>
    </row>
    <row r="899" spans="6:8" ht="12.75" customHeight="1" x14ac:dyDescent="0.2">
      <c r="F899" s="31"/>
      <c r="G899" s="31"/>
      <c r="H899" s="31"/>
    </row>
    <row r="900" spans="6:8" ht="12.75" customHeight="1" x14ac:dyDescent="0.2">
      <c r="F900" s="31"/>
      <c r="G900" s="31"/>
      <c r="H900" s="31"/>
    </row>
    <row r="901" spans="6:8" ht="12.75" customHeight="1" x14ac:dyDescent="0.2">
      <c r="F901" s="31"/>
      <c r="G901" s="31"/>
      <c r="H901" s="31"/>
    </row>
    <row r="902" spans="6:8" ht="12.75" customHeight="1" x14ac:dyDescent="0.2">
      <c r="F902" s="31"/>
      <c r="G902" s="31"/>
      <c r="H902" s="31"/>
    </row>
    <row r="903" spans="6:8" ht="12.75" customHeight="1" x14ac:dyDescent="0.2">
      <c r="F903" s="31"/>
      <c r="G903" s="31"/>
      <c r="H903" s="31"/>
    </row>
    <row r="904" spans="6:8" ht="12.75" customHeight="1" x14ac:dyDescent="0.2">
      <c r="F904" s="31"/>
      <c r="G904" s="31"/>
      <c r="H904" s="31"/>
    </row>
    <row r="905" spans="6:8" ht="12.75" customHeight="1" x14ac:dyDescent="0.2">
      <c r="F905" s="31"/>
      <c r="G905" s="31"/>
      <c r="H905" s="31"/>
    </row>
    <row r="906" spans="6:8" ht="12.75" customHeight="1" x14ac:dyDescent="0.2">
      <c r="F906" s="31"/>
      <c r="G906" s="31"/>
      <c r="H906" s="31"/>
    </row>
    <row r="907" spans="6:8" ht="12.75" customHeight="1" x14ac:dyDescent="0.2">
      <c r="F907" s="31"/>
      <c r="G907" s="31"/>
      <c r="H907" s="31"/>
    </row>
    <row r="908" spans="6:8" ht="12.75" customHeight="1" x14ac:dyDescent="0.2">
      <c r="F908" s="31"/>
      <c r="G908" s="31"/>
      <c r="H908" s="31"/>
    </row>
    <row r="909" spans="6:8" ht="12.75" customHeight="1" x14ac:dyDescent="0.2">
      <c r="F909" s="31"/>
      <c r="G909" s="31"/>
      <c r="H909" s="31"/>
    </row>
    <row r="910" spans="6:8" ht="12.75" customHeight="1" x14ac:dyDescent="0.2">
      <c r="F910" s="31"/>
      <c r="G910" s="31"/>
      <c r="H910" s="31"/>
    </row>
    <row r="911" spans="6:8" ht="12.75" customHeight="1" x14ac:dyDescent="0.2">
      <c r="F911" s="31"/>
      <c r="G911" s="31"/>
      <c r="H911" s="31"/>
    </row>
    <row r="912" spans="6:8" ht="12.75" customHeight="1" x14ac:dyDescent="0.2">
      <c r="F912" s="31"/>
      <c r="G912" s="31"/>
      <c r="H912" s="31"/>
    </row>
    <row r="913" spans="6:8" ht="12.75" customHeight="1" x14ac:dyDescent="0.2">
      <c r="F913" s="31"/>
      <c r="G913" s="31"/>
      <c r="H913" s="31"/>
    </row>
    <row r="914" spans="6:8" ht="12.75" customHeight="1" x14ac:dyDescent="0.2">
      <c r="F914" s="31"/>
      <c r="G914" s="31"/>
      <c r="H914" s="31"/>
    </row>
    <row r="915" spans="6:8" ht="12.75" customHeight="1" x14ac:dyDescent="0.2">
      <c r="F915" s="31"/>
      <c r="G915" s="31"/>
      <c r="H915" s="31"/>
    </row>
    <row r="916" spans="6:8" ht="12.75" customHeight="1" x14ac:dyDescent="0.2">
      <c r="F916" s="31"/>
      <c r="G916" s="31"/>
      <c r="H916" s="31"/>
    </row>
    <row r="917" spans="6:8" ht="12.75" customHeight="1" x14ac:dyDescent="0.2">
      <c r="F917" s="31"/>
      <c r="G917" s="31"/>
      <c r="H917" s="31"/>
    </row>
    <row r="918" spans="6:8" ht="12.75" customHeight="1" x14ac:dyDescent="0.2">
      <c r="F918" s="31"/>
      <c r="G918" s="31"/>
      <c r="H918" s="31"/>
    </row>
    <row r="919" spans="6:8" ht="12.75" customHeight="1" x14ac:dyDescent="0.2">
      <c r="F919" s="31"/>
      <c r="G919" s="31"/>
      <c r="H919" s="31"/>
    </row>
    <row r="920" spans="6:8" ht="12.75" customHeight="1" x14ac:dyDescent="0.2">
      <c r="F920" s="31"/>
      <c r="G920" s="31"/>
      <c r="H920" s="31"/>
    </row>
    <row r="921" spans="6:8" ht="12.75" customHeight="1" x14ac:dyDescent="0.2">
      <c r="F921" s="31"/>
      <c r="G921" s="31"/>
      <c r="H921" s="31"/>
    </row>
    <row r="922" spans="6:8" ht="12.75" customHeight="1" x14ac:dyDescent="0.2">
      <c r="F922" s="31"/>
      <c r="G922" s="31"/>
      <c r="H922" s="31"/>
    </row>
    <row r="923" spans="6:8" ht="12.75" customHeight="1" x14ac:dyDescent="0.2">
      <c r="F923" s="31"/>
      <c r="G923" s="31"/>
      <c r="H923" s="31"/>
    </row>
    <row r="924" spans="6:8" ht="12.75" customHeight="1" x14ac:dyDescent="0.2">
      <c r="F924" s="31"/>
      <c r="G924" s="31"/>
      <c r="H924" s="31"/>
    </row>
    <row r="925" spans="6:8" ht="12.75" customHeight="1" x14ac:dyDescent="0.2">
      <c r="F925" s="31"/>
      <c r="G925" s="31"/>
      <c r="H925" s="31"/>
    </row>
    <row r="926" spans="6:8" ht="12.75" customHeight="1" x14ac:dyDescent="0.2">
      <c r="F926" s="31"/>
      <c r="G926" s="31"/>
      <c r="H926" s="31"/>
    </row>
    <row r="927" spans="6:8" ht="12.75" customHeight="1" x14ac:dyDescent="0.2">
      <c r="F927" s="31"/>
      <c r="G927" s="31"/>
      <c r="H927" s="31"/>
    </row>
    <row r="928" spans="6:8" ht="12.75" customHeight="1" x14ac:dyDescent="0.2">
      <c r="F928" s="31"/>
      <c r="G928" s="31"/>
      <c r="H928" s="31"/>
    </row>
    <row r="929" spans="6:8" ht="12.75" customHeight="1" x14ac:dyDescent="0.2">
      <c r="F929" s="31"/>
      <c r="G929" s="31"/>
      <c r="H929" s="31"/>
    </row>
    <row r="930" spans="6:8" ht="12.75" customHeight="1" x14ac:dyDescent="0.2">
      <c r="F930" s="31"/>
      <c r="G930" s="31"/>
      <c r="H930" s="31"/>
    </row>
    <row r="931" spans="6:8" ht="12.75" customHeight="1" x14ac:dyDescent="0.2">
      <c r="F931" s="31"/>
      <c r="G931" s="31"/>
      <c r="H931" s="31"/>
    </row>
    <row r="932" spans="6:8" ht="12.75" customHeight="1" x14ac:dyDescent="0.2">
      <c r="F932" s="31"/>
      <c r="G932" s="31"/>
      <c r="H932" s="31"/>
    </row>
    <row r="933" spans="6:8" ht="12.75" customHeight="1" x14ac:dyDescent="0.2">
      <c r="F933" s="31"/>
      <c r="G933" s="31"/>
      <c r="H933" s="31"/>
    </row>
    <row r="934" spans="6:8" ht="12.75" customHeight="1" x14ac:dyDescent="0.2">
      <c r="F934" s="31"/>
      <c r="G934" s="31"/>
      <c r="H934" s="31"/>
    </row>
    <row r="935" spans="6:8" ht="12.75" customHeight="1" x14ac:dyDescent="0.2">
      <c r="F935" s="31"/>
      <c r="G935" s="31"/>
      <c r="H935" s="31"/>
    </row>
    <row r="936" spans="6:8" ht="12.75" customHeight="1" x14ac:dyDescent="0.2">
      <c r="F936" s="31"/>
      <c r="G936" s="31"/>
      <c r="H936" s="31"/>
    </row>
    <row r="937" spans="6:8" ht="12.75" customHeight="1" x14ac:dyDescent="0.2">
      <c r="F937" s="31"/>
      <c r="G937" s="31"/>
      <c r="H937" s="31"/>
    </row>
    <row r="938" spans="6:8" ht="12.75" customHeight="1" x14ac:dyDescent="0.2">
      <c r="F938" s="31"/>
      <c r="G938" s="31"/>
      <c r="H938" s="31"/>
    </row>
    <row r="939" spans="6:8" ht="12.75" customHeight="1" x14ac:dyDescent="0.2">
      <c r="F939" s="31"/>
      <c r="G939" s="31"/>
      <c r="H939" s="31"/>
    </row>
    <row r="940" spans="6:8" ht="12.75" customHeight="1" x14ac:dyDescent="0.2">
      <c r="F940" s="31"/>
      <c r="G940" s="31"/>
      <c r="H940" s="31"/>
    </row>
    <row r="941" spans="6:8" ht="12.75" customHeight="1" x14ac:dyDescent="0.2">
      <c r="F941" s="31"/>
      <c r="G941" s="31"/>
      <c r="H941" s="31"/>
    </row>
    <row r="942" spans="6:8" ht="12.75" customHeight="1" x14ac:dyDescent="0.2">
      <c r="F942" s="31"/>
      <c r="G942" s="31"/>
      <c r="H942" s="31"/>
    </row>
    <row r="943" spans="6:8" ht="12.75" customHeight="1" x14ac:dyDescent="0.2">
      <c r="F943" s="31"/>
      <c r="G943" s="31"/>
      <c r="H943" s="31"/>
    </row>
    <row r="944" spans="6:8" ht="12.75" customHeight="1" x14ac:dyDescent="0.2">
      <c r="F944" s="31"/>
      <c r="G944" s="31"/>
      <c r="H944" s="31"/>
    </row>
    <row r="945" spans="6:8" ht="12.75" customHeight="1" x14ac:dyDescent="0.2">
      <c r="F945" s="31"/>
      <c r="G945" s="31"/>
      <c r="H945" s="31"/>
    </row>
    <row r="946" spans="6:8" ht="12.75" customHeight="1" x14ac:dyDescent="0.2">
      <c r="F946" s="31"/>
      <c r="G946" s="31"/>
      <c r="H946" s="31"/>
    </row>
    <row r="947" spans="6:8" ht="12.75" customHeight="1" x14ac:dyDescent="0.2">
      <c r="F947" s="31"/>
      <c r="G947" s="31"/>
      <c r="H947" s="31"/>
    </row>
    <row r="948" spans="6:8" ht="12.75" customHeight="1" x14ac:dyDescent="0.2">
      <c r="F948" s="31"/>
      <c r="G948" s="31"/>
      <c r="H948" s="31"/>
    </row>
    <row r="949" spans="6:8" ht="12.75" customHeight="1" x14ac:dyDescent="0.2">
      <c r="F949" s="31"/>
      <c r="G949" s="31"/>
      <c r="H949" s="31"/>
    </row>
    <row r="950" spans="6:8" ht="12.75" customHeight="1" x14ac:dyDescent="0.2">
      <c r="F950" s="31"/>
      <c r="G950" s="31"/>
      <c r="H950" s="31"/>
    </row>
    <row r="951" spans="6:8" ht="12.75" customHeight="1" x14ac:dyDescent="0.2">
      <c r="F951" s="31"/>
      <c r="G951" s="31"/>
      <c r="H951" s="31"/>
    </row>
    <row r="952" spans="6:8" ht="12.75" customHeight="1" x14ac:dyDescent="0.2">
      <c r="F952" s="31"/>
      <c r="G952" s="31"/>
      <c r="H952" s="31"/>
    </row>
    <row r="953" spans="6:8" ht="12.75" customHeight="1" x14ac:dyDescent="0.2">
      <c r="F953" s="31"/>
      <c r="G953" s="31"/>
      <c r="H953" s="31"/>
    </row>
    <row r="954" spans="6:8" ht="12.75" customHeight="1" x14ac:dyDescent="0.2">
      <c r="F954" s="31"/>
      <c r="G954" s="31"/>
      <c r="H954" s="31"/>
    </row>
    <row r="955" spans="6:8" ht="12.75" customHeight="1" x14ac:dyDescent="0.2">
      <c r="F955" s="31"/>
      <c r="G955" s="31"/>
      <c r="H955" s="31"/>
    </row>
    <row r="956" spans="6:8" ht="12.75" customHeight="1" x14ac:dyDescent="0.2">
      <c r="F956" s="31"/>
      <c r="G956" s="31"/>
      <c r="H956" s="31"/>
    </row>
    <row r="957" spans="6:8" ht="12.75" customHeight="1" x14ac:dyDescent="0.2">
      <c r="F957" s="31"/>
      <c r="G957" s="31"/>
      <c r="H957" s="31"/>
    </row>
    <row r="958" spans="6:8" ht="12.75" customHeight="1" x14ac:dyDescent="0.2">
      <c r="F958" s="31"/>
      <c r="G958" s="31"/>
      <c r="H958" s="31"/>
    </row>
    <row r="959" spans="6:8" ht="12.75" customHeight="1" x14ac:dyDescent="0.2">
      <c r="F959" s="31"/>
      <c r="G959" s="31"/>
      <c r="H959" s="31"/>
    </row>
    <row r="960" spans="6:8" ht="12.75" customHeight="1" x14ac:dyDescent="0.2">
      <c r="F960" s="31"/>
      <c r="G960" s="31"/>
      <c r="H960" s="31"/>
    </row>
    <row r="961" spans="6:8" ht="12.75" customHeight="1" x14ac:dyDescent="0.2">
      <c r="F961" s="31"/>
      <c r="G961" s="31"/>
      <c r="H961" s="31"/>
    </row>
    <row r="962" spans="6:8" ht="12.75" customHeight="1" x14ac:dyDescent="0.2">
      <c r="F962" s="31"/>
      <c r="G962" s="31"/>
      <c r="H962" s="31"/>
    </row>
    <row r="963" spans="6:8" ht="12.75" customHeight="1" x14ac:dyDescent="0.2">
      <c r="F963" s="31"/>
      <c r="G963" s="31"/>
      <c r="H963" s="31"/>
    </row>
    <row r="964" spans="6:8" ht="12.75" customHeight="1" x14ac:dyDescent="0.2">
      <c r="F964" s="31"/>
      <c r="G964" s="31"/>
      <c r="H964" s="31"/>
    </row>
    <row r="965" spans="6:8" ht="12.75" customHeight="1" x14ac:dyDescent="0.2">
      <c r="F965" s="31"/>
      <c r="G965" s="31"/>
      <c r="H965" s="31"/>
    </row>
    <row r="966" spans="6:8" ht="12.75" customHeight="1" x14ac:dyDescent="0.2">
      <c r="F966" s="31"/>
      <c r="G966" s="31"/>
      <c r="H966" s="31"/>
    </row>
    <row r="967" spans="6:8" ht="12.75" customHeight="1" x14ac:dyDescent="0.2">
      <c r="F967" s="31"/>
      <c r="G967" s="31"/>
      <c r="H967" s="31"/>
    </row>
    <row r="968" spans="6:8" ht="12.75" customHeight="1" x14ac:dyDescent="0.2">
      <c r="F968" s="31"/>
      <c r="G968" s="31"/>
      <c r="H968" s="31"/>
    </row>
    <row r="969" spans="6:8" ht="12.75" customHeight="1" x14ac:dyDescent="0.2">
      <c r="F969" s="31"/>
      <c r="G969" s="31"/>
      <c r="H969" s="31"/>
    </row>
    <row r="970" spans="6:8" ht="12.75" customHeight="1" x14ac:dyDescent="0.2">
      <c r="F970" s="31"/>
      <c r="G970" s="31"/>
      <c r="H970" s="31"/>
    </row>
    <row r="971" spans="6:8" ht="12.75" customHeight="1" x14ac:dyDescent="0.2">
      <c r="F971" s="31"/>
      <c r="G971" s="31"/>
      <c r="H971" s="31"/>
    </row>
    <row r="972" spans="6:8" ht="12.75" customHeight="1" x14ac:dyDescent="0.2">
      <c r="F972" s="31"/>
      <c r="G972" s="31"/>
      <c r="H972" s="31"/>
    </row>
    <row r="973" spans="6:8" ht="12.75" customHeight="1" x14ac:dyDescent="0.2">
      <c r="F973" s="31"/>
      <c r="G973" s="31"/>
      <c r="H973" s="31"/>
    </row>
    <row r="974" spans="6:8" ht="12.75" customHeight="1" x14ac:dyDescent="0.2">
      <c r="F974" s="31"/>
      <c r="G974" s="31"/>
      <c r="H974" s="31"/>
    </row>
    <row r="975" spans="6:8" ht="12.75" customHeight="1" x14ac:dyDescent="0.2">
      <c r="F975" s="31"/>
      <c r="G975" s="31"/>
      <c r="H975" s="31"/>
    </row>
    <row r="976" spans="6:8" ht="12.75" customHeight="1" x14ac:dyDescent="0.2">
      <c r="F976" s="31"/>
      <c r="G976" s="31"/>
      <c r="H976" s="31"/>
    </row>
    <row r="977" spans="6:8" ht="12.75" customHeight="1" x14ac:dyDescent="0.2">
      <c r="F977" s="31"/>
      <c r="G977" s="31"/>
      <c r="H977" s="31"/>
    </row>
    <row r="978" spans="6:8" ht="12.75" customHeight="1" x14ac:dyDescent="0.2">
      <c r="F978" s="31"/>
      <c r="G978" s="31"/>
      <c r="H978" s="31"/>
    </row>
    <row r="979" spans="6:8" ht="12.75" customHeight="1" x14ac:dyDescent="0.2">
      <c r="F979" s="31"/>
      <c r="G979" s="31"/>
      <c r="H979" s="31"/>
    </row>
    <row r="980" spans="6:8" ht="12.75" customHeight="1" x14ac:dyDescent="0.2">
      <c r="F980" s="31"/>
      <c r="G980" s="31"/>
      <c r="H980" s="31"/>
    </row>
    <row r="981" spans="6:8" ht="12.75" customHeight="1" x14ac:dyDescent="0.2">
      <c r="F981" s="31"/>
      <c r="G981" s="31"/>
      <c r="H981" s="31"/>
    </row>
    <row r="982" spans="6:8" ht="12.75" customHeight="1" x14ac:dyDescent="0.2">
      <c r="F982" s="31"/>
      <c r="G982" s="31"/>
      <c r="H982" s="31"/>
    </row>
    <row r="983" spans="6:8" ht="12.75" customHeight="1" x14ac:dyDescent="0.2">
      <c r="F983" s="31"/>
      <c r="G983" s="31"/>
      <c r="H983" s="31"/>
    </row>
    <row r="984" spans="6:8" ht="12.75" customHeight="1" x14ac:dyDescent="0.2">
      <c r="F984" s="31"/>
      <c r="G984" s="31"/>
      <c r="H984" s="31"/>
    </row>
    <row r="985" spans="6:8" ht="12.75" customHeight="1" x14ac:dyDescent="0.2">
      <c r="F985" s="31"/>
      <c r="G985" s="31"/>
      <c r="H985" s="31"/>
    </row>
    <row r="986" spans="6:8" ht="12.75" customHeight="1" x14ac:dyDescent="0.2">
      <c r="F986" s="31"/>
      <c r="G986" s="31"/>
      <c r="H986" s="31"/>
    </row>
    <row r="987" spans="6:8" ht="12.75" customHeight="1" x14ac:dyDescent="0.2">
      <c r="F987" s="31"/>
      <c r="G987" s="31"/>
      <c r="H987" s="31"/>
    </row>
    <row r="988" spans="6:8" ht="12.75" customHeight="1" x14ac:dyDescent="0.2">
      <c r="F988" s="31"/>
      <c r="G988" s="31"/>
      <c r="H988" s="31"/>
    </row>
    <row r="989" spans="6:8" ht="12.75" customHeight="1" x14ac:dyDescent="0.2">
      <c r="F989" s="31"/>
      <c r="G989" s="31"/>
      <c r="H989" s="31"/>
    </row>
    <row r="990" spans="6:8" ht="12.75" customHeight="1" x14ac:dyDescent="0.2">
      <c r="F990" s="31"/>
      <c r="G990" s="31"/>
      <c r="H990" s="31"/>
    </row>
    <row r="991" spans="6:8" ht="12.75" customHeight="1" x14ac:dyDescent="0.2">
      <c r="F991" s="31"/>
      <c r="G991" s="31"/>
      <c r="H991" s="31"/>
    </row>
    <row r="992" spans="6:8" ht="12.75" customHeight="1" x14ac:dyDescent="0.2">
      <c r="F992" s="31"/>
      <c r="G992" s="31"/>
      <c r="H992" s="31"/>
    </row>
    <row r="993" spans="6:8" ht="12.75" customHeight="1" x14ac:dyDescent="0.2">
      <c r="F993" s="31"/>
      <c r="G993" s="31"/>
      <c r="H993" s="31"/>
    </row>
    <row r="994" spans="6:8" ht="12.75" customHeight="1" x14ac:dyDescent="0.2">
      <c r="F994" s="31"/>
      <c r="G994" s="31"/>
      <c r="H994" s="31"/>
    </row>
    <row r="995" spans="6:8" ht="12.75" customHeight="1" x14ac:dyDescent="0.2">
      <c r="F995" s="31"/>
      <c r="G995" s="31"/>
      <c r="H995" s="31"/>
    </row>
    <row r="996" spans="6:8" ht="12.75" customHeight="1" x14ac:dyDescent="0.2">
      <c r="F996" s="31"/>
      <c r="G996" s="31"/>
      <c r="H996" s="31"/>
    </row>
    <row r="997" spans="6:8" ht="12.75" customHeight="1" x14ac:dyDescent="0.2">
      <c r="F997" s="31"/>
      <c r="G997" s="31"/>
      <c r="H997" s="31"/>
    </row>
    <row r="998" spans="6:8" ht="12.75" customHeight="1" x14ac:dyDescent="0.2">
      <c r="F998" s="31"/>
      <c r="G998" s="31"/>
      <c r="H998" s="31"/>
    </row>
    <row r="999" spans="6:8" ht="12.75" customHeight="1" x14ac:dyDescent="0.2">
      <c r="F999" s="31"/>
      <c r="G999" s="31"/>
      <c r="H999" s="31"/>
    </row>
  </sheetData>
  <dataValidations disablePrompts="1" count="1">
    <dataValidation type="list" allowBlank="1" showErrorMessage="1" sqref="F1" xr:uid="{00000000-0002-0000-0900-000000000000}">
      <formula1>Years</formula1>
    </dataValidation>
  </dataValidations>
  <pageMargins left="0.75" right="0.75" top="1" bottom="1" header="0" footer="0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Z999"/>
  <sheetViews>
    <sheetView workbookViewId="0">
      <pane xSplit="3" ySplit="4" topLeftCell="D5" activePane="bottomRight" state="frozen"/>
      <selection activeCell="C2" sqref="C2"/>
      <selection pane="topRight" activeCell="C2" sqref="C2"/>
      <selection pane="bottomLeft" activeCell="C2" sqref="C2"/>
      <selection pane="bottomRight" activeCell="L4" sqref="L4"/>
    </sheetView>
  </sheetViews>
  <sheetFormatPr defaultColWidth="12.5703125" defaultRowHeight="15" customHeight="1" x14ac:dyDescent="0.2"/>
  <cols>
    <col min="1" max="1" width="6.140625" customWidth="1"/>
    <col min="2" max="2" width="8.5703125" customWidth="1"/>
    <col min="3" max="3" width="9.7109375" customWidth="1"/>
    <col min="4" max="4" width="10.140625" style="74" customWidth="1"/>
    <col min="5" max="5" width="36.28515625" customWidth="1"/>
    <col min="6" max="6" width="13.42578125" customWidth="1"/>
    <col min="7" max="8" width="14.7109375" customWidth="1"/>
    <col min="9" max="9" width="14.140625" bestFit="1" customWidth="1"/>
    <col min="10" max="10" width="10.85546875" customWidth="1"/>
    <col min="11" max="11" width="10.28515625" customWidth="1"/>
    <col min="12" max="12" width="12" customWidth="1"/>
    <col min="13" max="13" width="14.85546875" customWidth="1"/>
    <col min="14" max="14" width="12.28515625" customWidth="1"/>
    <col min="15" max="26" width="8.5703125" customWidth="1"/>
  </cols>
  <sheetData>
    <row r="1" spans="1:17" ht="12.75" customHeight="1" x14ac:dyDescent="0.2">
      <c r="A1" s="43"/>
      <c r="B1" s="45"/>
      <c r="C1" s="43"/>
      <c r="D1" s="70" t="s">
        <v>107</v>
      </c>
      <c r="E1" s="50" t="s">
        <v>120</v>
      </c>
      <c r="F1" s="40"/>
      <c r="G1" s="40" t="s">
        <v>104</v>
      </c>
      <c r="H1" s="41"/>
      <c r="I1" s="40"/>
      <c r="J1" s="40"/>
      <c r="K1" s="43"/>
      <c r="L1" s="43"/>
      <c r="M1" s="43"/>
      <c r="N1" s="43"/>
      <c r="O1" s="43"/>
    </row>
    <row r="2" spans="1:17" ht="12.75" customHeight="1" x14ac:dyDescent="0.2">
      <c r="A2" s="43"/>
      <c r="B2" s="43"/>
      <c r="C2" s="43"/>
      <c r="D2" s="71" t="s">
        <v>114</v>
      </c>
      <c r="E2" s="50" t="s">
        <v>110</v>
      </c>
      <c r="F2" s="44"/>
      <c r="G2" s="40">
        <v>3</v>
      </c>
      <c r="H2" s="41"/>
      <c r="I2" s="40" t="s">
        <v>41</v>
      </c>
      <c r="J2" s="40" t="s">
        <v>712</v>
      </c>
      <c r="K2" s="50" t="s">
        <v>50</v>
      </c>
      <c r="L2" s="50" t="s">
        <v>704</v>
      </c>
      <c r="M2" s="43"/>
      <c r="N2" s="43"/>
      <c r="O2" s="43"/>
    </row>
    <row r="3" spans="1:17" ht="12.75" customHeight="1" x14ac:dyDescent="0.25">
      <c r="A3" s="45">
        <f>COUNTIF(A5:A65523, "&lt;&gt;")</f>
        <v>181</v>
      </c>
      <c r="B3" s="43">
        <f>MAX(B5:B852)</f>
        <v>2023</v>
      </c>
      <c r="C3" s="43"/>
      <c r="D3" s="83" t="str">
        <f t="array" ref="D3">INDEX(D5:D65522, A3)</f>
        <v>1/3/2023</v>
      </c>
      <c r="E3" s="59"/>
      <c r="F3" s="84"/>
      <c r="G3" s="85" t="s">
        <v>40</v>
      </c>
      <c r="H3" s="85">
        <f t="array" ref="H3">INDEX(H5:H65517, A3)</f>
        <v>-1540</v>
      </c>
      <c r="I3" s="86">
        <v>45190</v>
      </c>
      <c r="J3" s="64">
        <v>5</v>
      </c>
      <c r="K3" s="92">
        <v>35</v>
      </c>
      <c r="L3" s="92">
        <v>1326</v>
      </c>
      <c r="M3" s="43"/>
      <c r="N3" s="43"/>
      <c r="O3" s="43"/>
    </row>
    <row r="4" spans="1:17" ht="12.75" customHeight="1" x14ac:dyDescent="0.2">
      <c r="A4" s="38" t="s">
        <v>42</v>
      </c>
      <c r="B4" s="38" t="s">
        <v>10</v>
      </c>
      <c r="C4" s="38" t="s">
        <v>54</v>
      </c>
      <c r="D4" s="72" t="s">
        <v>43</v>
      </c>
      <c r="E4" s="38" t="s">
        <v>44</v>
      </c>
      <c r="F4" s="42" t="s">
        <v>45</v>
      </c>
      <c r="G4" s="42" t="s">
        <v>46</v>
      </c>
      <c r="H4" s="42" t="s">
        <v>47</v>
      </c>
      <c r="I4" s="65" t="s">
        <v>676</v>
      </c>
      <c r="J4" s="53"/>
      <c r="K4" s="53"/>
      <c r="L4" s="54"/>
      <c r="M4" s="43"/>
      <c r="N4" s="43"/>
      <c r="O4" s="43"/>
    </row>
    <row r="5" spans="1:17" ht="12.75" customHeight="1" x14ac:dyDescent="0.25">
      <c r="A5" s="53">
        <v>9</v>
      </c>
      <c r="B5" s="53">
        <v>2018</v>
      </c>
      <c r="C5" s="53" t="str">
        <f t="shared" ref="C5:C36" si="0">IFERROR("Late Fee "&amp;FIND("Late Fee",E5),IFERROR("Internet "&amp;FIND("Internet",E5),IFERROR("Utilities "&amp;FIND("Utilities",E5),IFERROR("Rent: "&amp;FIND("Rent",E5),IFERROR("Priv Tax: "&amp;FIND("Tax",E5),IFERROR("Income: "&amp;FIND("Payment",E5,1),""))))))</f>
        <v/>
      </c>
      <c r="D5" s="73" t="s">
        <v>527</v>
      </c>
      <c r="E5" s="56" t="s">
        <v>68</v>
      </c>
      <c r="F5" s="58">
        <v>0</v>
      </c>
      <c r="G5" s="58">
        <v>300</v>
      </c>
      <c r="H5" s="58">
        <f xml:space="preserve"> G5 - F5</f>
        <v>300</v>
      </c>
      <c r="I5" s="53">
        <v>3427</v>
      </c>
      <c r="J5" s="53"/>
      <c r="K5" s="53"/>
      <c r="L5" s="53"/>
      <c r="M5" s="59"/>
      <c r="N5" s="59"/>
      <c r="O5" s="59"/>
      <c r="P5" s="59"/>
      <c r="Q5" s="59"/>
    </row>
    <row r="6" spans="1:17" ht="12.75" customHeight="1" x14ac:dyDescent="0.25">
      <c r="A6" s="53">
        <v>9</v>
      </c>
      <c r="B6" s="53">
        <v>2018</v>
      </c>
      <c r="C6" s="53" t="str">
        <f t="shared" si="0"/>
        <v/>
      </c>
      <c r="D6" s="73" t="s">
        <v>527</v>
      </c>
      <c r="E6" s="56" t="s">
        <v>48</v>
      </c>
      <c r="F6" s="58">
        <v>0</v>
      </c>
      <c r="G6" s="58">
        <v>1350</v>
      </c>
      <c r="H6" s="58">
        <f t="shared" ref="H6:H37" si="1" xml:space="preserve"> H5 + G6 - F6</f>
        <v>1650</v>
      </c>
      <c r="I6" s="59">
        <v>3428</v>
      </c>
      <c r="J6" s="59"/>
      <c r="K6" s="59"/>
      <c r="L6" s="53"/>
      <c r="M6" s="58"/>
      <c r="N6" s="58"/>
      <c r="O6" s="59"/>
      <c r="P6" s="59"/>
      <c r="Q6" s="59"/>
    </row>
    <row r="7" spans="1:17" ht="12.75" customHeight="1" x14ac:dyDescent="0.25">
      <c r="A7" s="53">
        <v>9</v>
      </c>
      <c r="B7" s="53">
        <v>2018</v>
      </c>
      <c r="C7" s="53" t="str">
        <f t="shared" si="0"/>
        <v>Income: 1</v>
      </c>
      <c r="D7" s="73" t="s">
        <v>527</v>
      </c>
      <c r="E7" s="56" t="s">
        <v>49</v>
      </c>
      <c r="F7" s="58">
        <v>500</v>
      </c>
      <c r="G7" s="58">
        <v>0</v>
      </c>
      <c r="H7" s="58">
        <f t="shared" si="1"/>
        <v>1150</v>
      </c>
      <c r="I7" s="53">
        <v>3429</v>
      </c>
      <c r="J7" s="59"/>
      <c r="K7" s="59"/>
      <c r="L7" s="53"/>
      <c r="M7" s="59"/>
      <c r="N7" s="58"/>
      <c r="O7" s="59"/>
      <c r="P7" s="59"/>
      <c r="Q7" s="59"/>
    </row>
    <row r="8" spans="1:17" ht="12.75" customHeight="1" x14ac:dyDescent="0.2">
      <c r="A8" s="53">
        <v>9</v>
      </c>
      <c r="B8" s="53">
        <v>2018</v>
      </c>
      <c r="C8" s="53" t="str">
        <f t="shared" si="0"/>
        <v>Rent: 1</v>
      </c>
      <c r="D8" s="73" t="s">
        <v>528</v>
      </c>
      <c r="E8" s="53" t="s">
        <v>329</v>
      </c>
      <c r="F8" s="58">
        <v>0</v>
      </c>
      <c r="G8" s="58">
        <v>1326.1297</v>
      </c>
      <c r="H8" s="58">
        <f t="shared" si="1"/>
        <v>2476.1297</v>
      </c>
      <c r="I8" s="53">
        <v>3430</v>
      </c>
      <c r="J8" s="59"/>
      <c r="K8" s="59"/>
      <c r="L8" s="53"/>
      <c r="M8" s="59"/>
      <c r="N8" s="63"/>
      <c r="O8" s="59"/>
      <c r="P8" s="59"/>
      <c r="Q8" s="59"/>
    </row>
    <row r="9" spans="1:17" ht="12.75" customHeight="1" x14ac:dyDescent="0.2">
      <c r="A9" s="53">
        <v>9</v>
      </c>
      <c r="B9" s="53">
        <v>2018</v>
      </c>
      <c r="C9" s="53" t="str">
        <f t="shared" si="0"/>
        <v>Priv Tax: 1</v>
      </c>
      <c r="D9" s="73" t="s">
        <v>528</v>
      </c>
      <c r="E9" s="53" t="s">
        <v>59</v>
      </c>
      <c r="F9" s="58">
        <v>0</v>
      </c>
      <c r="G9" s="58">
        <v>23.8703</v>
      </c>
      <c r="H9" s="58">
        <f t="shared" si="1"/>
        <v>2500</v>
      </c>
      <c r="I9" s="53">
        <v>3431</v>
      </c>
      <c r="J9" s="59"/>
      <c r="K9" s="59"/>
      <c r="L9" s="53"/>
      <c r="M9" s="59"/>
      <c r="N9" s="63"/>
      <c r="O9" s="59"/>
      <c r="P9" s="59"/>
      <c r="Q9" s="59"/>
    </row>
    <row r="10" spans="1:17" ht="12.75" customHeight="1" x14ac:dyDescent="0.25">
      <c r="A10" s="53">
        <v>9</v>
      </c>
      <c r="B10" s="53">
        <v>2018</v>
      </c>
      <c r="C10" s="53" t="str">
        <f t="shared" si="0"/>
        <v>Income: 1</v>
      </c>
      <c r="D10" s="73" t="s">
        <v>529</v>
      </c>
      <c r="E10" s="56" t="s">
        <v>49</v>
      </c>
      <c r="F10" s="58">
        <v>700</v>
      </c>
      <c r="G10" s="58">
        <v>0</v>
      </c>
      <c r="H10" s="58">
        <f t="shared" si="1"/>
        <v>1800</v>
      </c>
      <c r="I10" s="53">
        <v>3432</v>
      </c>
      <c r="J10" s="53"/>
      <c r="K10" s="59"/>
      <c r="L10" s="53"/>
      <c r="M10" s="59"/>
      <c r="N10" s="63"/>
      <c r="O10" s="59"/>
      <c r="P10" s="59"/>
      <c r="Q10" s="59"/>
    </row>
    <row r="11" spans="1:17" ht="12.75" customHeight="1" x14ac:dyDescent="0.25">
      <c r="A11" s="53">
        <v>9</v>
      </c>
      <c r="B11" s="53">
        <v>2018</v>
      </c>
      <c r="C11" s="53" t="str">
        <f t="shared" si="0"/>
        <v>Income: 1</v>
      </c>
      <c r="D11" s="73" t="s">
        <v>528</v>
      </c>
      <c r="E11" s="56" t="s">
        <v>49</v>
      </c>
      <c r="F11" s="58">
        <v>950</v>
      </c>
      <c r="G11" s="58">
        <v>0</v>
      </c>
      <c r="H11" s="58">
        <f t="shared" si="1"/>
        <v>850</v>
      </c>
      <c r="I11" s="53">
        <v>3433</v>
      </c>
      <c r="J11" s="58"/>
      <c r="K11" s="59"/>
      <c r="L11" s="53"/>
      <c r="M11" s="59"/>
      <c r="N11" s="63"/>
      <c r="O11" s="59"/>
      <c r="P11" s="59"/>
      <c r="Q11" s="59"/>
    </row>
    <row r="12" spans="1:17" ht="12.75" customHeight="1" x14ac:dyDescent="0.25">
      <c r="A12" s="53">
        <v>10</v>
      </c>
      <c r="B12" s="53">
        <v>2018</v>
      </c>
      <c r="C12" s="53" t="str">
        <f t="shared" si="0"/>
        <v>Income: 1</v>
      </c>
      <c r="D12" s="73" t="s">
        <v>530</v>
      </c>
      <c r="E12" s="56" t="s">
        <v>49</v>
      </c>
      <c r="F12" s="58">
        <v>600</v>
      </c>
      <c r="G12" s="58">
        <v>0</v>
      </c>
      <c r="H12" s="58">
        <f t="shared" si="1"/>
        <v>250</v>
      </c>
      <c r="I12" s="53">
        <v>3434</v>
      </c>
      <c r="J12" s="58"/>
      <c r="K12" s="53"/>
      <c r="L12" s="53"/>
      <c r="M12" s="59"/>
      <c r="N12" s="63"/>
      <c r="O12" s="59"/>
      <c r="P12" s="59"/>
      <c r="Q12" s="59"/>
    </row>
    <row r="13" spans="1:17" ht="12.75" customHeight="1" x14ac:dyDescent="0.25">
      <c r="A13" s="53">
        <v>10</v>
      </c>
      <c r="B13" s="53">
        <v>2018</v>
      </c>
      <c r="C13" s="53" t="str">
        <f t="shared" si="0"/>
        <v>Income: 1</v>
      </c>
      <c r="D13" s="73" t="s">
        <v>530</v>
      </c>
      <c r="E13" s="56" t="s">
        <v>49</v>
      </c>
      <c r="F13" s="58">
        <v>250</v>
      </c>
      <c r="G13" s="58">
        <v>0</v>
      </c>
      <c r="H13" s="58">
        <f t="shared" si="1"/>
        <v>0</v>
      </c>
      <c r="I13" s="53">
        <v>3435</v>
      </c>
      <c r="J13" s="53"/>
      <c r="K13" s="53"/>
      <c r="L13" s="53"/>
      <c r="M13" s="59"/>
      <c r="N13" s="63"/>
      <c r="O13" s="59"/>
      <c r="P13" s="59"/>
      <c r="Q13" s="59"/>
    </row>
    <row r="14" spans="1:17" ht="12.75" customHeight="1" x14ac:dyDescent="0.2">
      <c r="A14" s="53">
        <v>10</v>
      </c>
      <c r="B14" s="53">
        <v>2018</v>
      </c>
      <c r="C14" s="53" t="str">
        <f t="shared" si="0"/>
        <v>Rent: 1</v>
      </c>
      <c r="D14" s="73" t="s">
        <v>531</v>
      </c>
      <c r="E14" s="53" t="s">
        <v>332</v>
      </c>
      <c r="F14" s="58">
        <v>0</v>
      </c>
      <c r="G14" s="58">
        <v>1326.1297</v>
      </c>
      <c r="H14" s="58">
        <f t="shared" si="1"/>
        <v>1326.1297</v>
      </c>
      <c r="I14" s="53">
        <v>3436</v>
      </c>
      <c r="J14" s="59"/>
      <c r="K14" s="59"/>
      <c r="L14" s="53"/>
      <c r="M14" s="59"/>
      <c r="N14" s="63"/>
      <c r="O14" s="59"/>
      <c r="P14" s="59"/>
      <c r="Q14" s="59"/>
    </row>
    <row r="15" spans="1:17" ht="12.75" customHeight="1" x14ac:dyDescent="0.2">
      <c r="A15" s="53">
        <v>10</v>
      </c>
      <c r="B15" s="53">
        <v>2018</v>
      </c>
      <c r="C15" s="53" t="str">
        <f t="shared" si="0"/>
        <v>Priv Tax: 1</v>
      </c>
      <c r="D15" s="73" t="s">
        <v>531</v>
      </c>
      <c r="E15" s="53" t="s">
        <v>59</v>
      </c>
      <c r="F15" s="58">
        <v>0</v>
      </c>
      <c r="G15" s="58">
        <v>23.8703</v>
      </c>
      <c r="H15" s="58">
        <f t="shared" si="1"/>
        <v>1350</v>
      </c>
      <c r="I15" s="53">
        <v>3437</v>
      </c>
      <c r="J15" s="59"/>
      <c r="K15" s="59"/>
      <c r="L15" s="53"/>
      <c r="M15" s="59"/>
      <c r="N15" s="63"/>
      <c r="O15" s="59"/>
      <c r="P15" s="59"/>
      <c r="Q15" s="59"/>
    </row>
    <row r="16" spans="1:17" ht="12.75" customHeight="1" x14ac:dyDescent="0.25">
      <c r="A16" s="53">
        <v>10</v>
      </c>
      <c r="B16" s="53">
        <v>2018</v>
      </c>
      <c r="C16" s="53" t="str">
        <f t="shared" si="0"/>
        <v>Income: 1</v>
      </c>
      <c r="D16" s="73" t="s">
        <v>335</v>
      </c>
      <c r="E16" s="56" t="s">
        <v>49</v>
      </c>
      <c r="F16" s="58">
        <v>1350</v>
      </c>
      <c r="G16" s="58">
        <v>0</v>
      </c>
      <c r="H16" s="58">
        <f t="shared" si="1"/>
        <v>0</v>
      </c>
      <c r="I16" s="53">
        <v>3438</v>
      </c>
      <c r="J16" s="53"/>
      <c r="K16" s="59"/>
      <c r="L16" s="53"/>
      <c r="M16" s="59"/>
      <c r="N16" s="63"/>
      <c r="O16" s="59"/>
      <c r="P16" s="59"/>
      <c r="Q16" s="59"/>
    </row>
    <row r="17" spans="1:17" ht="12.75" customHeight="1" x14ac:dyDescent="0.2">
      <c r="A17" s="53">
        <v>11</v>
      </c>
      <c r="B17" s="53">
        <v>2018</v>
      </c>
      <c r="C17" s="53" t="str">
        <f t="shared" si="0"/>
        <v>Rent: 1</v>
      </c>
      <c r="D17" s="73" t="s">
        <v>532</v>
      </c>
      <c r="E17" s="53" t="s">
        <v>334</v>
      </c>
      <c r="F17" s="58">
        <v>0</v>
      </c>
      <c r="G17" s="58">
        <v>1326.1297</v>
      </c>
      <c r="H17" s="58">
        <f t="shared" si="1"/>
        <v>1326.1297</v>
      </c>
      <c r="I17" s="53">
        <v>3439</v>
      </c>
      <c r="J17" s="58"/>
      <c r="K17" s="59"/>
      <c r="L17" s="53"/>
      <c r="M17" s="59"/>
      <c r="N17" s="63"/>
      <c r="O17" s="59"/>
      <c r="P17" s="59"/>
      <c r="Q17" s="59"/>
    </row>
    <row r="18" spans="1:17" ht="12.75" customHeight="1" x14ac:dyDescent="0.2">
      <c r="A18" s="53">
        <v>11</v>
      </c>
      <c r="B18" s="53">
        <v>2018</v>
      </c>
      <c r="C18" s="53" t="str">
        <f t="shared" si="0"/>
        <v>Priv Tax: 1</v>
      </c>
      <c r="D18" s="73" t="s">
        <v>532</v>
      </c>
      <c r="E18" s="53" t="s">
        <v>59</v>
      </c>
      <c r="F18" s="58">
        <v>0</v>
      </c>
      <c r="G18" s="58">
        <v>23.8703</v>
      </c>
      <c r="H18" s="58">
        <f t="shared" si="1"/>
        <v>1350</v>
      </c>
      <c r="I18" s="53">
        <v>3440</v>
      </c>
      <c r="J18" s="59"/>
      <c r="K18" s="59"/>
      <c r="L18" s="53"/>
      <c r="M18" s="59"/>
      <c r="N18" s="63"/>
      <c r="O18" s="59"/>
      <c r="P18" s="59"/>
      <c r="Q18" s="59"/>
    </row>
    <row r="19" spans="1:17" ht="12.75" customHeight="1" x14ac:dyDescent="0.25">
      <c r="A19" s="53">
        <v>12</v>
      </c>
      <c r="B19" s="53">
        <v>2018</v>
      </c>
      <c r="C19" s="53" t="str">
        <f t="shared" si="0"/>
        <v>Income: 1</v>
      </c>
      <c r="D19" s="73" t="s">
        <v>533</v>
      </c>
      <c r="E19" s="56" t="s">
        <v>49</v>
      </c>
      <c r="F19" s="58">
        <v>600</v>
      </c>
      <c r="G19" s="58">
        <v>0</v>
      </c>
      <c r="H19" s="58">
        <f t="shared" si="1"/>
        <v>750</v>
      </c>
      <c r="I19" s="53">
        <v>3441</v>
      </c>
      <c r="J19" s="59"/>
      <c r="K19" s="59"/>
      <c r="L19" s="53"/>
      <c r="M19" s="59"/>
      <c r="N19" s="63"/>
      <c r="O19" s="59"/>
      <c r="P19" s="59"/>
      <c r="Q19" s="59"/>
    </row>
    <row r="20" spans="1:17" ht="12.75" customHeight="1" x14ac:dyDescent="0.25">
      <c r="A20" s="53">
        <v>12</v>
      </c>
      <c r="B20" s="53">
        <v>2018</v>
      </c>
      <c r="C20" s="53" t="str">
        <f t="shared" si="0"/>
        <v>Income: 1</v>
      </c>
      <c r="D20" s="73" t="s">
        <v>534</v>
      </c>
      <c r="E20" s="56" t="s">
        <v>49</v>
      </c>
      <c r="F20" s="58">
        <v>845</v>
      </c>
      <c r="G20" s="58">
        <v>0</v>
      </c>
      <c r="H20" s="58">
        <f t="shared" si="1"/>
        <v>-95</v>
      </c>
      <c r="I20" s="53">
        <v>3442</v>
      </c>
      <c r="J20" s="59"/>
      <c r="K20" s="59"/>
      <c r="L20" s="53"/>
      <c r="M20" s="59"/>
      <c r="N20" s="63"/>
      <c r="O20" s="59"/>
      <c r="P20" s="59"/>
      <c r="Q20" s="59"/>
    </row>
    <row r="21" spans="1:17" ht="12.75" customHeight="1" x14ac:dyDescent="0.2">
      <c r="A21" s="53">
        <v>12</v>
      </c>
      <c r="B21" s="53">
        <v>2018</v>
      </c>
      <c r="C21" s="53" t="str">
        <f t="shared" si="0"/>
        <v>Late Fee 1</v>
      </c>
      <c r="D21" s="73" t="s">
        <v>535</v>
      </c>
      <c r="E21" s="59" t="s">
        <v>50</v>
      </c>
      <c r="F21" s="58">
        <v>0</v>
      </c>
      <c r="G21" s="58">
        <v>95</v>
      </c>
      <c r="H21" s="58">
        <f t="shared" si="1"/>
        <v>0</v>
      </c>
      <c r="I21" s="53">
        <v>3443</v>
      </c>
      <c r="J21" s="63"/>
      <c r="K21" s="59"/>
      <c r="L21" s="53"/>
      <c r="M21" s="59"/>
      <c r="N21" s="59"/>
      <c r="O21" s="59"/>
      <c r="P21" s="59"/>
      <c r="Q21" s="59"/>
    </row>
    <row r="22" spans="1:17" ht="12.75" customHeight="1" x14ac:dyDescent="0.2">
      <c r="A22" s="53">
        <v>12</v>
      </c>
      <c r="B22" s="53">
        <v>2018</v>
      </c>
      <c r="C22" s="53" t="str">
        <f t="shared" si="0"/>
        <v>Rent: 1</v>
      </c>
      <c r="D22" s="73" t="s">
        <v>536</v>
      </c>
      <c r="E22" s="53" t="s">
        <v>337</v>
      </c>
      <c r="F22" s="58">
        <v>0</v>
      </c>
      <c r="G22" s="58">
        <v>1326.1297</v>
      </c>
      <c r="H22" s="58">
        <f t="shared" si="1"/>
        <v>1326.1297</v>
      </c>
      <c r="I22" s="59">
        <v>3444</v>
      </c>
      <c r="J22" s="58"/>
      <c r="K22" s="59"/>
      <c r="L22" s="53"/>
      <c r="M22" s="59"/>
      <c r="N22" s="59"/>
      <c r="O22" s="59"/>
      <c r="P22" s="59"/>
      <c r="Q22" s="59"/>
    </row>
    <row r="23" spans="1:17" ht="12.75" customHeight="1" x14ac:dyDescent="0.2">
      <c r="A23" s="53">
        <v>12</v>
      </c>
      <c r="B23" s="53">
        <v>2018</v>
      </c>
      <c r="C23" s="53" t="str">
        <f t="shared" si="0"/>
        <v>Priv Tax: 1</v>
      </c>
      <c r="D23" s="73" t="s">
        <v>536</v>
      </c>
      <c r="E23" s="53" t="s">
        <v>59</v>
      </c>
      <c r="F23" s="58">
        <v>0</v>
      </c>
      <c r="G23" s="58">
        <v>23.8703</v>
      </c>
      <c r="H23" s="58">
        <f t="shared" si="1"/>
        <v>1350</v>
      </c>
      <c r="I23" s="53">
        <v>3445</v>
      </c>
      <c r="J23" s="53"/>
      <c r="K23" s="53"/>
      <c r="L23" s="53"/>
      <c r="M23" s="59"/>
      <c r="N23" s="59"/>
      <c r="O23" s="59"/>
      <c r="P23" s="59"/>
      <c r="Q23" s="59"/>
    </row>
    <row r="24" spans="1:17" ht="12.75" customHeight="1" x14ac:dyDescent="0.25">
      <c r="A24" s="53">
        <v>1</v>
      </c>
      <c r="B24" s="53">
        <v>2019</v>
      </c>
      <c r="C24" s="53" t="str">
        <f t="shared" si="0"/>
        <v>Income: 1</v>
      </c>
      <c r="D24" s="73" t="s">
        <v>537</v>
      </c>
      <c r="E24" s="56" t="s">
        <v>49</v>
      </c>
      <c r="F24" s="58">
        <v>1415</v>
      </c>
      <c r="G24" s="58">
        <v>0</v>
      </c>
      <c r="H24" s="58">
        <f t="shared" si="1"/>
        <v>-65</v>
      </c>
      <c r="I24" s="53">
        <v>3446</v>
      </c>
      <c r="J24" s="53"/>
      <c r="K24" s="53"/>
      <c r="L24" s="53"/>
      <c r="M24" s="59"/>
      <c r="N24" s="63"/>
      <c r="O24" s="59"/>
      <c r="P24" s="59"/>
      <c r="Q24" s="59"/>
    </row>
    <row r="25" spans="1:17" ht="12.75" customHeight="1" x14ac:dyDescent="0.2">
      <c r="A25" s="53">
        <v>1</v>
      </c>
      <c r="B25" s="53">
        <v>2019</v>
      </c>
      <c r="C25" s="53" t="str">
        <f t="shared" si="0"/>
        <v>Late Fee 1</v>
      </c>
      <c r="D25" s="73" t="s">
        <v>537</v>
      </c>
      <c r="E25" s="53" t="s">
        <v>50</v>
      </c>
      <c r="F25" s="58">
        <v>0</v>
      </c>
      <c r="G25" s="58">
        <v>65</v>
      </c>
      <c r="H25" s="58">
        <f t="shared" si="1"/>
        <v>0</v>
      </c>
      <c r="I25" s="53">
        <v>3447</v>
      </c>
      <c r="J25" s="53"/>
      <c r="K25" s="53"/>
      <c r="L25" s="53"/>
      <c r="M25" s="59"/>
      <c r="N25" s="59"/>
      <c r="O25" s="59"/>
      <c r="P25" s="59"/>
      <c r="Q25" s="59"/>
    </row>
    <row r="26" spans="1:17" ht="12.75" customHeight="1" x14ac:dyDescent="0.2">
      <c r="A26" s="53">
        <v>1</v>
      </c>
      <c r="B26" s="53">
        <v>2019</v>
      </c>
      <c r="C26" s="53" t="str">
        <f t="shared" si="0"/>
        <v>Rent: 1</v>
      </c>
      <c r="D26" s="73" t="s">
        <v>538</v>
      </c>
      <c r="E26" s="53" t="s">
        <v>539</v>
      </c>
      <c r="F26" s="58">
        <v>0</v>
      </c>
      <c r="G26" s="58">
        <v>1326.1297</v>
      </c>
      <c r="H26" s="58">
        <f t="shared" si="1"/>
        <v>1326.1297</v>
      </c>
      <c r="I26" s="53">
        <v>3448</v>
      </c>
      <c r="J26" s="53"/>
      <c r="K26" s="53"/>
      <c r="L26" s="53"/>
      <c r="M26" s="59"/>
      <c r="N26" s="59"/>
      <c r="O26" s="59"/>
      <c r="P26" s="59"/>
      <c r="Q26" s="59"/>
    </row>
    <row r="27" spans="1:17" ht="12.75" customHeight="1" x14ac:dyDescent="0.2">
      <c r="A27" s="53">
        <v>1</v>
      </c>
      <c r="B27" s="53">
        <v>2019</v>
      </c>
      <c r="C27" s="53" t="str">
        <f t="shared" si="0"/>
        <v>Priv Tax: 1</v>
      </c>
      <c r="D27" s="73" t="s">
        <v>538</v>
      </c>
      <c r="E27" s="53" t="s">
        <v>59</v>
      </c>
      <c r="F27" s="58">
        <v>0</v>
      </c>
      <c r="G27" s="58">
        <v>23.8703</v>
      </c>
      <c r="H27" s="58">
        <f t="shared" si="1"/>
        <v>1350</v>
      </c>
      <c r="I27" s="53">
        <v>3449</v>
      </c>
      <c r="J27" s="53"/>
      <c r="K27" s="53"/>
      <c r="L27" s="53"/>
      <c r="M27" s="59"/>
      <c r="N27" s="59"/>
      <c r="O27" s="59"/>
      <c r="P27" s="59"/>
      <c r="Q27" s="59"/>
    </row>
    <row r="28" spans="1:17" ht="12.75" customHeight="1" x14ac:dyDescent="0.25">
      <c r="A28" s="53">
        <v>2</v>
      </c>
      <c r="B28" s="53">
        <v>2019</v>
      </c>
      <c r="C28" s="53" t="str">
        <f t="shared" si="0"/>
        <v>Income: 1</v>
      </c>
      <c r="D28" s="73" t="s">
        <v>540</v>
      </c>
      <c r="E28" s="56" t="s">
        <v>49</v>
      </c>
      <c r="F28" s="58">
        <v>900</v>
      </c>
      <c r="G28" s="58">
        <v>0</v>
      </c>
      <c r="H28" s="58">
        <f t="shared" si="1"/>
        <v>450</v>
      </c>
      <c r="I28" s="53">
        <v>3450</v>
      </c>
      <c r="J28" s="53"/>
      <c r="K28" s="53"/>
      <c r="L28" s="53"/>
      <c r="M28" s="59"/>
      <c r="N28" s="59"/>
      <c r="O28" s="59"/>
      <c r="P28" s="59"/>
      <c r="Q28" s="59"/>
    </row>
    <row r="29" spans="1:17" ht="12.75" customHeight="1" x14ac:dyDescent="0.25">
      <c r="A29" s="53">
        <v>2</v>
      </c>
      <c r="B29" s="53">
        <v>2019</v>
      </c>
      <c r="C29" s="53" t="str">
        <f t="shared" si="0"/>
        <v>Income: 1</v>
      </c>
      <c r="D29" s="73" t="s">
        <v>541</v>
      </c>
      <c r="E29" s="56" t="s">
        <v>49</v>
      </c>
      <c r="F29" s="58">
        <v>605</v>
      </c>
      <c r="G29" s="58">
        <v>0</v>
      </c>
      <c r="H29" s="58">
        <f t="shared" si="1"/>
        <v>-155</v>
      </c>
      <c r="I29" s="53">
        <v>3451</v>
      </c>
      <c r="J29" s="53"/>
      <c r="K29" s="53"/>
      <c r="L29" s="53"/>
      <c r="M29" s="59"/>
      <c r="N29" s="59"/>
      <c r="O29" s="59"/>
      <c r="P29" s="59"/>
      <c r="Q29" s="59"/>
    </row>
    <row r="30" spans="1:17" ht="12.75" customHeight="1" x14ac:dyDescent="0.2">
      <c r="A30" s="53">
        <v>2</v>
      </c>
      <c r="B30" s="53">
        <v>2019</v>
      </c>
      <c r="C30" s="53" t="str">
        <f t="shared" si="0"/>
        <v>Late Fee 1</v>
      </c>
      <c r="D30" s="73" t="s">
        <v>542</v>
      </c>
      <c r="E30" s="53" t="s">
        <v>50</v>
      </c>
      <c r="F30" s="58">
        <v>0</v>
      </c>
      <c r="G30" s="58">
        <v>155</v>
      </c>
      <c r="H30" s="58">
        <f t="shared" si="1"/>
        <v>0</v>
      </c>
      <c r="I30" s="53">
        <v>3452</v>
      </c>
      <c r="J30" s="53"/>
      <c r="K30" s="53"/>
      <c r="L30" s="53"/>
      <c r="M30" s="59"/>
      <c r="N30" s="59"/>
      <c r="O30" s="59"/>
      <c r="P30" s="59"/>
      <c r="Q30" s="59"/>
    </row>
    <row r="31" spans="1:17" ht="12.75" customHeight="1" x14ac:dyDescent="0.2">
      <c r="A31" s="53">
        <v>2</v>
      </c>
      <c r="B31" s="53">
        <v>2019</v>
      </c>
      <c r="C31" s="53" t="str">
        <f t="shared" si="0"/>
        <v>Rent: 1</v>
      </c>
      <c r="D31" s="73" t="s">
        <v>346</v>
      </c>
      <c r="E31" s="53" t="s">
        <v>342</v>
      </c>
      <c r="F31" s="58">
        <v>0</v>
      </c>
      <c r="G31" s="58">
        <v>1326.1297</v>
      </c>
      <c r="H31" s="58">
        <f t="shared" si="1"/>
        <v>1326.1297</v>
      </c>
      <c r="I31" s="53">
        <v>3453</v>
      </c>
      <c r="J31" s="53"/>
      <c r="K31" s="53"/>
      <c r="L31" s="53"/>
      <c r="M31" s="59"/>
      <c r="N31" s="59"/>
      <c r="O31" s="59"/>
      <c r="P31" s="59"/>
      <c r="Q31" s="59"/>
    </row>
    <row r="32" spans="1:17" ht="12.75" customHeight="1" x14ac:dyDescent="0.2">
      <c r="A32" s="53">
        <v>2</v>
      </c>
      <c r="B32" s="53">
        <v>2019</v>
      </c>
      <c r="C32" s="53" t="str">
        <f t="shared" si="0"/>
        <v>Priv Tax: 1</v>
      </c>
      <c r="D32" s="73" t="s">
        <v>346</v>
      </c>
      <c r="E32" s="53" t="s">
        <v>59</v>
      </c>
      <c r="F32" s="58">
        <v>0</v>
      </c>
      <c r="G32" s="58">
        <v>23.8703</v>
      </c>
      <c r="H32" s="58">
        <f t="shared" si="1"/>
        <v>1350</v>
      </c>
      <c r="I32" s="53">
        <v>3454</v>
      </c>
      <c r="J32" s="53"/>
      <c r="K32" s="53"/>
      <c r="L32" s="53"/>
      <c r="M32" s="59"/>
      <c r="N32" s="59"/>
      <c r="O32" s="59"/>
      <c r="P32" s="59"/>
      <c r="Q32" s="59"/>
    </row>
    <row r="33" spans="1:17" ht="12.75" customHeight="1" x14ac:dyDescent="0.25">
      <c r="A33" s="53">
        <v>3</v>
      </c>
      <c r="B33" s="53">
        <v>2019</v>
      </c>
      <c r="C33" s="53" t="str">
        <f t="shared" si="0"/>
        <v>Income: 1</v>
      </c>
      <c r="D33" s="73" t="s">
        <v>543</v>
      </c>
      <c r="E33" s="56" t="s">
        <v>49</v>
      </c>
      <c r="F33" s="58">
        <v>600</v>
      </c>
      <c r="G33" s="58">
        <v>0</v>
      </c>
      <c r="H33" s="58">
        <f t="shared" si="1"/>
        <v>750</v>
      </c>
      <c r="I33" s="53">
        <v>3455</v>
      </c>
      <c r="J33" s="53"/>
      <c r="K33" s="53"/>
      <c r="L33" s="53"/>
      <c r="M33" s="59"/>
      <c r="N33" s="59"/>
      <c r="O33" s="59"/>
      <c r="P33" s="59"/>
      <c r="Q33" s="59"/>
    </row>
    <row r="34" spans="1:17" ht="12.75" customHeight="1" x14ac:dyDescent="0.25">
      <c r="A34" s="53">
        <v>3</v>
      </c>
      <c r="B34" s="53">
        <v>2019</v>
      </c>
      <c r="C34" s="53" t="str">
        <f t="shared" si="0"/>
        <v>Income: 1</v>
      </c>
      <c r="D34" s="73" t="s">
        <v>544</v>
      </c>
      <c r="E34" s="56" t="s">
        <v>49</v>
      </c>
      <c r="F34" s="58">
        <v>875</v>
      </c>
      <c r="G34" s="58">
        <v>0</v>
      </c>
      <c r="H34" s="58">
        <f t="shared" si="1"/>
        <v>-125</v>
      </c>
      <c r="I34" s="53">
        <v>3456</v>
      </c>
      <c r="J34" s="58"/>
      <c r="K34" s="53"/>
      <c r="L34" s="53"/>
      <c r="M34" s="59"/>
      <c r="N34" s="59"/>
      <c r="O34" s="59"/>
      <c r="P34" s="59"/>
      <c r="Q34" s="59"/>
    </row>
    <row r="35" spans="1:17" ht="12.75" customHeight="1" x14ac:dyDescent="0.2">
      <c r="A35" s="53">
        <v>3</v>
      </c>
      <c r="B35" s="53">
        <v>2019</v>
      </c>
      <c r="C35" s="53" t="str">
        <f t="shared" si="0"/>
        <v>Late Fee 1</v>
      </c>
      <c r="D35" s="73" t="s">
        <v>545</v>
      </c>
      <c r="E35" s="53" t="s">
        <v>50</v>
      </c>
      <c r="F35" s="58">
        <v>0</v>
      </c>
      <c r="G35" s="58">
        <v>125</v>
      </c>
      <c r="H35" s="58">
        <f t="shared" si="1"/>
        <v>0</v>
      </c>
      <c r="I35" s="53">
        <v>3457</v>
      </c>
      <c r="J35" s="53"/>
      <c r="K35" s="53"/>
      <c r="L35" s="53"/>
      <c r="M35" s="59"/>
      <c r="N35" s="59"/>
      <c r="O35" s="59"/>
      <c r="P35" s="59"/>
      <c r="Q35" s="59"/>
    </row>
    <row r="36" spans="1:17" ht="12.75" customHeight="1" x14ac:dyDescent="0.2">
      <c r="A36" s="53">
        <v>3</v>
      </c>
      <c r="B36" s="53">
        <v>2019</v>
      </c>
      <c r="C36" s="53" t="str">
        <f t="shared" si="0"/>
        <v>Rent: 1</v>
      </c>
      <c r="D36" s="73" t="s">
        <v>546</v>
      </c>
      <c r="E36" s="53" t="s">
        <v>547</v>
      </c>
      <c r="F36" s="58">
        <v>0</v>
      </c>
      <c r="G36" s="58">
        <v>1326.1297</v>
      </c>
      <c r="H36" s="58">
        <f t="shared" si="1"/>
        <v>1326.1297</v>
      </c>
      <c r="I36" s="53">
        <v>3458</v>
      </c>
      <c r="J36" s="53"/>
      <c r="K36" s="53"/>
      <c r="L36" s="53"/>
      <c r="M36" s="59"/>
      <c r="N36" s="59"/>
      <c r="O36" s="59"/>
      <c r="P36" s="59"/>
      <c r="Q36" s="59"/>
    </row>
    <row r="37" spans="1:17" ht="12.75" customHeight="1" x14ac:dyDescent="0.2">
      <c r="A37" s="53">
        <v>3</v>
      </c>
      <c r="B37" s="53">
        <v>2019</v>
      </c>
      <c r="C37" s="53" t="str">
        <f t="shared" ref="C37:C68" si="2">IFERROR("Late Fee "&amp;FIND("Late Fee",E37),IFERROR("Internet "&amp;FIND("Internet",E37),IFERROR("Utilities "&amp;FIND("Utilities",E37),IFERROR("Rent: "&amp;FIND("Rent",E37),IFERROR("Priv Tax: "&amp;FIND("Tax",E37),IFERROR("Income: "&amp;FIND("Payment",E37,1),""))))))</f>
        <v>Priv Tax: 1</v>
      </c>
      <c r="D37" s="73" t="s">
        <v>546</v>
      </c>
      <c r="E37" s="53" t="s">
        <v>59</v>
      </c>
      <c r="F37" s="58">
        <v>0</v>
      </c>
      <c r="G37" s="58">
        <v>23.8703</v>
      </c>
      <c r="H37" s="58">
        <f t="shared" si="1"/>
        <v>1350</v>
      </c>
      <c r="I37" s="53">
        <v>3459</v>
      </c>
      <c r="J37" s="53"/>
      <c r="K37" s="53"/>
      <c r="L37" s="53"/>
      <c r="M37" s="59"/>
      <c r="N37" s="59"/>
      <c r="O37" s="59"/>
      <c r="P37" s="59"/>
      <c r="Q37" s="59"/>
    </row>
    <row r="38" spans="1:17" ht="12.75" customHeight="1" x14ac:dyDescent="0.25">
      <c r="A38" s="53">
        <v>4</v>
      </c>
      <c r="B38" s="53">
        <v>2019</v>
      </c>
      <c r="C38" s="53" t="str">
        <f t="shared" si="2"/>
        <v>Income: 1</v>
      </c>
      <c r="D38" s="73" t="s">
        <v>348</v>
      </c>
      <c r="E38" s="56" t="s">
        <v>49</v>
      </c>
      <c r="F38" s="58">
        <v>700</v>
      </c>
      <c r="G38" s="58">
        <v>0</v>
      </c>
      <c r="H38" s="58">
        <f t="shared" ref="H38:H69" si="3" xml:space="preserve"> H37 + G38 - F38</f>
        <v>650</v>
      </c>
      <c r="I38" s="53">
        <v>3460</v>
      </c>
      <c r="J38" s="53"/>
      <c r="K38" s="53"/>
      <c r="L38" s="53"/>
      <c r="M38" s="59"/>
      <c r="N38" s="59"/>
      <c r="O38" s="59"/>
      <c r="P38" s="59"/>
      <c r="Q38" s="59"/>
    </row>
    <row r="39" spans="1:17" ht="12.75" customHeight="1" x14ac:dyDescent="0.25">
      <c r="A39" s="53">
        <v>4</v>
      </c>
      <c r="B39" s="53">
        <v>2019</v>
      </c>
      <c r="C39" s="53" t="str">
        <f t="shared" si="2"/>
        <v>Income: 1</v>
      </c>
      <c r="D39" s="73" t="s">
        <v>548</v>
      </c>
      <c r="E39" s="56" t="s">
        <v>49</v>
      </c>
      <c r="F39" s="58">
        <v>805</v>
      </c>
      <c r="G39" s="58">
        <v>0</v>
      </c>
      <c r="H39" s="58">
        <f t="shared" si="3"/>
        <v>-155</v>
      </c>
      <c r="I39" s="53">
        <v>3461</v>
      </c>
      <c r="J39" s="53"/>
      <c r="K39" s="53"/>
      <c r="L39" s="53"/>
      <c r="M39" s="59"/>
      <c r="N39" s="59"/>
      <c r="O39" s="59"/>
      <c r="P39" s="59"/>
      <c r="Q39" s="59"/>
    </row>
    <row r="40" spans="1:17" ht="12.75" customHeight="1" x14ac:dyDescent="0.2">
      <c r="A40" s="53">
        <v>4</v>
      </c>
      <c r="B40" s="53">
        <v>2019</v>
      </c>
      <c r="C40" s="53" t="str">
        <f t="shared" si="2"/>
        <v>Late Fee 1</v>
      </c>
      <c r="D40" s="73" t="s">
        <v>549</v>
      </c>
      <c r="E40" s="53" t="s">
        <v>50</v>
      </c>
      <c r="F40" s="58">
        <v>0</v>
      </c>
      <c r="G40" s="58">
        <v>155</v>
      </c>
      <c r="H40" s="58">
        <f t="shared" si="3"/>
        <v>0</v>
      </c>
      <c r="I40" s="53">
        <v>3462</v>
      </c>
      <c r="J40" s="53"/>
      <c r="K40" s="53"/>
      <c r="L40" s="53"/>
      <c r="M40" s="59"/>
      <c r="N40" s="59"/>
      <c r="O40" s="59"/>
      <c r="P40" s="59"/>
      <c r="Q40" s="59"/>
    </row>
    <row r="41" spans="1:17" ht="12.75" customHeight="1" x14ac:dyDescent="0.2">
      <c r="A41" s="53">
        <v>4</v>
      </c>
      <c r="B41" s="53">
        <v>2019</v>
      </c>
      <c r="C41" s="53" t="str">
        <f t="shared" si="2"/>
        <v>Rent: 1</v>
      </c>
      <c r="D41" s="73" t="s">
        <v>550</v>
      </c>
      <c r="E41" s="53" t="s">
        <v>349</v>
      </c>
      <c r="F41" s="58">
        <v>0</v>
      </c>
      <c r="G41" s="58">
        <v>1326.1297</v>
      </c>
      <c r="H41" s="58">
        <f t="shared" si="3"/>
        <v>1326.1297</v>
      </c>
      <c r="I41" s="53">
        <v>3463</v>
      </c>
      <c r="J41" s="53"/>
      <c r="K41" s="53"/>
      <c r="L41" s="53"/>
      <c r="M41" s="59"/>
      <c r="N41" s="59"/>
      <c r="O41" s="59"/>
      <c r="P41" s="59"/>
      <c r="Q41" s="59"/>
    </row>
    <row r="42" spans="1:17" ht="12.75" customHeight="1" x14ac:dyDescent="0.2">
      <c r="A42" s="53">
        <v>4</v>
      </c>
      <c r="B42" s="53">
        <v>2019</v>
      </c>
      <c r="C42" s="53" t="str">
        <f t="shared" si="2"/>
        <v>Priv Tax: 1</v>
      </c>
      <c r="D42" s="73" t="s">
        <v>550</v>
      </c>
      <c r="E42" s="53" t="s">
        <v>59</v>
      </c>
      <c r="F42" s="58">
        <v>0</v>
      </c>
      <c r="G42" s="58">
        <v>23.8703</v>
      </c>
      <c r="H42" s="58">
        <f t="shared" si="3"/>
        <v>1350</v>
      </c>
      <c r="I42" s="53">
        <v>3464</v>
      </c>
      <c r="J42" s="53"/>
      <c r="K42" s="53"/>
      <c r="L42" s="53"/>
      <c r="M42" s="59"/>
      <c r="N42" s="59"/>
      <c r="O42" s="59"/>
      <c r="P42" s="59"/>
      <c r="Q42" s="59"/>
    </row>
    <row r="43" spans="1:17" ht="12.75" customHeight="1" x14ac:dyDescent="0.25">
      <c r="A43" s="53">
        <v>5</v>
      </c>
      <c r="B43" s="53">
        <v>2019</v>
      </c>
      <c r="C43" s="53" t="str">
        <f t="shared" si="2"/>
        <v>Income: 1</v>
      </c>
      <c r="D43" s="73" t="s">
        <v>551</v>
      </c>
      <c r="E43" s="56" t="s">
        <v>49</v>
      </c>
      <c r="F43" s="58">
        <v>1200</v>
      </c>
      <c r="G43" s="58">
        <v>0</v>
      </c>
      <c r="H43" s="58">
        <f t="shared" si="3"/>
        <v>150</v>
      </c>
      <c r="I43" s="53">
        <v>3465</v>
      </c>
      <c r="J43" s="53"/>
      <c r="K43" s="53"/>
      <c r="L43" s="53"/>
      <c r="M43" s="59"/>
      <c r="N43" s="59"/>
      <c r="O43" s="59"/>
      <c r="P43" s="59"/>
      <c r="Q43" s="59"/>
    </row>
    <row r="44" spans="1:17" ht="12.75" customHeight="1" x14ac:dyDescent="0.25">
      <c r="A44" s="53">
        <v>5</v>
      </c>
      <c r="B44" s="53">
        <v>2019</v>
      </c>
      <c r="C44" s="53" t="str">
        <f t="shared" si="2"/>
        <v>Income: 1</v>
      </c>
      <c r="D44" s="73" t="s">
        <v>552</v>
      </c>
      <c r="E44" s="56" t="s">
        <v>49</v>
      </c>
      <c r="F44" s="58">
        <v>335</v>
      </c>
      <c r="G44" s="58">
        <v>0</v>
      </c>
      <c r="H44" s="58">
        <f t="shared" si="3"/>
        <v>-185</v>
      </c>
      <c r="I44" s="53">
        <v>3466</v>
      </c>
      <c r="J44" s="53"/>
      <c r="K44" s="53"/>
      <c r="L44" s="53"/>
      <c r="M44" s="59"/>
      <c r="N44" s="59"/>
      <c r="O44" s="59"/>
      <c r="P44" s="59"/>
      <c r="Q44" s="59"/>
    </row>
    <row r="45" spans="1:17" ht="12.75" customHeight="1" x14ac:dyDescent="0.2">
      <c r="A45" s="53">
        <v>5</v>
      </c>
      <c r="B45" s="53">
        <v>2019</v>
      </c>
      <c r="C45" s="53" t="str">
        <f t="shared" si="2"/>
        <v>Late Fee 1</v>
      </c>
      <c r="D45" s="73" t="s">
        <v>553</v>
      </c>
      <c r="E45" s="53" t="s">
        <v>50</v>
      </c>
      <c r="F45" s="58">
        <v>0</v>
      </c>
      <c r="G45" s="58">
        <v>185</v>
      </c>
      <c r="H45" s="58">
        <f t="shared" si="3"/>
        <v>0</v>
      </c>
      <c r="I45" s="53">
        <v>3467</v>
      </c>
      <c r="J45" s="53"/>
      <c r="K45" s="53"/>
      <c r="L45" s="53"/>
      <c r="M45" s="59"/>
      <c r="N45" s="59"/>
      <c r="O45" s="59"/>
      <c r="P45" s="59"/>
      <c r="Q45" s="59"/>
    </row>
    <row r="46" spans="1:17" ht="12.75" customHeight="1" x14ac:dyDescent="0.2">
      <c r="A46" s="53">
        <v>5</v>
      </c>
      <c r="B46" s="53">
        <v>2019</v>
      </c>
      <c r="C46" s="53" t="str">
        <f t="shared" si="2"/>
        <v>Rent: 1</v>
      </c>
      <c r="D46" s="73" t="s">
        <v>554</v>
      </c>
      <c r="E46" s="53" t="s">
        <v>351</v>
      </c>
      <c r="F46" s="58">
        <v>0</v>
      </c>
      <c r="G46" s="58">
        <v>1326.1297</v>
      </c>
      <c r="H46" s="58">
        <f t="shared" si="3"/>
        <v>1326.1297</v>
      </c>
      <c r="I46" s="53">
        <v>3468</v>
      </c>
      <c r="J46" s="58"/>
      <c r="K46" s="53"/>
      <c r="L46" s="53"/>
      <c r="M46" s="59"/>
      <c r="N46" s="59"/>
      <c r="O46" s="59"/>
      <c r="P46" s="59"/>
      <c r="Q46" s="59"/>
    </row>
    <row r="47" spans="1:17" ht="12.75" customHeight="1" x14ac:dyDescent="0.2">
      <c r="A47" s="53">
        <v>5</v>
      </c>
      <c r="B47" s="53">
        <v>2019</v>
      </c>
      <c r="C47" s="53" t="str">
        <f t="shared" si="2"/>
        <v>Priv Tax: 1</v>
      </c>
      <c r="D47" s="73" t="s">
        <v>554</v>
      </c>
      <c r="E47" s="53" t="s">
        <v>59</v>
      </c>
      <c r="F47" s="58">
        <v>0</v>
      </c>
      <c r="G47" s="58">
        <v>23.8703</v>
      </c>
      <c r="H47" s="58">
        <f t="shared" si="3"/>
        <v>1350</v>
      </c>
      <c r="I47" s="53">
        <v>3469</v>
      </c>
      <c r="J47" s="53"/>
      <c r="K47" s="53"/>
      <c r="L47" s="53"/>
      <c r="M47" s="59"/>
      <c r="N47" s="59"/>
      <c r="O47" s="59"/>
      <c r="P47" s="59"/>
      <c r="Q47" s="59"/>
    </row>
    <row r="48" spans="1:17" ht="12.75" customHeight="1" x14ac:dyDescent="0.25">
      <c r="A48" s="53">
        <v>6</v>
      </c>
      <c r="B48" s="53">
        <v>2019</v>
      </c>
      <c r="C48" s="53" t="str">
        <f t="shared" si="2"/>
        <v>Income: 1</v>
      </c>
      <c r="D48" s="73" t="s">
        <v>356</v>
      </c>
      <c r="E48" s="56" t="s">
        <v>49</v>
      </c>
      <c r="F48" s="58">
        <v>450</v>
      </c>
      <c r="G48" s="58">
        <v>0</v>
      </c>
      <c r="H48" s="58">
        <f t="shared" si="3"/>
        <v>900</v>
      </c>
      <c r="I48" s="53">
        <v>3470</v>
      </c>
      <c r="J48" s="53"/>
      <c r="K48" s="53"/>
      <c r="L48" s="53"/>
      <c r="M48" s="59"/>
      <c r="N48" s="59"/>
      <c r="O48" s="59"/>
      <c r="P48" s="59"/>
      <c r="Q48" s="59"/>
    </row>
    <row r="49" spans="1:17" ht="12.75" customHeight="1" x14ac:dyDescent="0.25">
      <c r="A49" s="53">
        <v>6</v>
      </c>
      <c r="B49" s="53">
        <v>2019</v>
      </c>
      <c r="C49" s="53" t="str">
        <f t="shared" si="2"/>
        <v>Income: 1</v>
      </c>
      <c r="D49" s="73" t="s">
        <v>555</v>
      </c>
      <c r="E49" s="56" t="s">
        <v>49</v>
      </c>
      <c r="F49" s="58">
        <v>400</v>
      </c>
      <c r="G49" s="58">
        <v>0</v>
      </c>
      <c r="H49" s="58">
        <f t="shared" si="3"/>
        <v>500</v>
      </c>
      <c r="I49" s="53">
        <v>3471</v>
      </c>
      <c r="J49" s="53"/>
      <c r="K49" s="53"/>
      <c r="L49" s="53"/>
      <c r="M49" s="59"/>
      <c r="N49" s="59"/>
      <c r="O49" s="59"/>
      <c r="P49" s="59"/>
      <c r="Q49" s="59"/>
    </row>
    <row r="50" spans="1:17" ht="12.75" customHeight="1" x14ac:dyDescent="0.25">
      <c r="A50" s="53">
        <v>6</v>
      </c>
      <c r="B50" s="53">
        <v>2019</v>
      </c>
      <c r="C50" s="53" t="str">
        <f t="shared" si="2"/>
        <v>Income: 1</v>
      </c>
      <c r="D50" s="73" t="s">
        <v>556</v>
      </c>
      <c r="E50" s="56" t="s">
        <v>49</v>
      </c>
      <c r="F50" s="58">
        <v>635</v>
      </c>
      <c r="G50" s="58">
        <v>0</v>
      </c>
      <c r="H50" s="58">
        <f t="shared" si="3"/>
        <v>-135</v>
      </c>
      <c r="I50" s="53">
        <v>3472</v>
      </c>
      <c r="J50" s="53"/>
      <c r="K50" s="53"/>
      <c r="L50" s="53"/>
      <c r="M50" s="59"/>
      <c r="N50" s="59"/>
      <c r="O50" s="59"/>
      <c r="P50" s="59"/>
      <c r="Q50" s="59"/>
    </row>
    <row r="51" spans="1:17" ht="12.75" customHeight="1" x14ac:dyDescent="0.2">
      <c r="A51" s="53">
        <v>6</v>
      </c>
      <c r="B51" s="53">
        <v>2019</v>
      </c>
      <c r="C51" s="53" t="str">
        <f t="shared" si="2"/>
        <v>Late Fee 1</v>
      </c>
      <c r="D51" s="73" t="s">
        <v>556</v>
      </c>
      <c r="E51" s="53" t="s">
        <v>50</v>
      </c>
      <c r="F51" s="58">
        <v>0</v>
      </c>
      <c r="G51" s="58">
        <v>135</v>
      </c>
      <c r="H51" s="58">
        <f t="shared" si="3"/>
        <v>0</v>
      </c>
      <c r="I51" s="53">
        <v>3473</v>
      </c>
      <c r="J51" s="53"/>
      <c r="K51" s="53"/>
      <c r="L51" s="53"/>
      <c r="M51" s="59"/>
      <c r="N51" s="59"/>
      <c r="O51" s="59"/>
      <c r="P51" s="59"/>
      <c r="Q51" s="59"/>
    </row>
    <row r="52" spans="1:17" ht="12.75" customHeight="1" x14ac:dyDescent="0.2">
      <c r="A52" s="53">
        <v>7</v>
      </c>
      <c r="B52" s="53">
        <v>2019</v>
      </c>
      <c r="C52" s="53" t="str">
        <f t="shared" si="2"/>
        <v>Rent: 1</v>
      </c>
      <c r="D52" s="73" t="s">
        <v>557</v>
      </c>
      <c r="E52" s="53" t="s">
        <v>358</v>
      </c>
      <c r="F52" s="58">
        <v>0</v>
      </c>
      <c r="G52" s="58">
        <v>1326.1297</v>
      </c>
      <c r="H52" s="58">
        <f t="shared" si="3"/>
        <v>1326.1297</v>
      </c>
      <c r="I52" s="53">
        <v>3474</v>
      </c>
      <c r="J52" s="53"/>
      <c r="K52" s="53"/>
      <c r="L52" s="53"/>
      <c r="M52" s="59"/>
      <c r="N52" s="59"/>
      <c r="O52" s="59"/>
      <c r="P52" s="59"/>
      <c r="Q52" s="59"/>
    </row>
    <row r="53" spans="1:17" ht="12.75" customHeight="1" x14ac:dyDescent="0.2">
      <c r="A53" s="53">
        <v>7</v>
      </c>
      <c r="B53" s="53">
        <v>2019</v>
      </c>
      <c r="C53" s="53" t="str">
        <f t="shared" si="2"/>
        <v>Priv Tax: 1</v>
      </c>
      <c r="D53" s="73" t="s">
        <v>557</v>
      </c>
      <c r="E53" s="53" t="s">
        <v>59</v>
      </c>
      <c r="F53" s="58">
        <v>0</v>
      </c>
      <c r="G53" s="58">
        <v>23.8703</v>
      </c>
      <c r="H53" s="58">
        <f t="shared" si="3"/>
        <v>1350</v>
      </c>
      <c r="I53" s="53">
        <v>3475</v>
      </c>
      <c r="J53" s="53"/>
      <c r="K53" s="53"/>
      <c r="L53" s="53"/>
      <c r="M53" s="59"/>
      <c r="N53" s="59"/>
      <c r="O53" s="59"/>
      <c r="P53" s="59"/>
      <c r="Q53" s="59"/>
    </row>
    <row r="54" spans="1:17" ht="12.75" customHeight="1" x14ac:dyDescent="0.25">
      <c r="A54" s="53">
        <v>7</v>
      </c>
      <c r="B54" s="53">
        <v>2019</v>
      </c>
      <c r="C54" s="53" t="str">
        <f t="shared" si="2"/>
        <v>Income: 1</v>
      </c>
      <c r="D54" s="73" t="s">
        <v>558</v>
      </c>
      <c r="E54" s="56" t="s">
        <v>49</v>
      </c>
      <c r="F54" s="58">
        <v>800</v>
      </c>
      <c r="G54" s="58">
        <v>0</v>
      </c>
      <c r="H54" s="58">
        <f t="shared" si="3"/>
        <v>550</v>
      </c>
      <c r="I54" s="53">
        <v>3476</v>
      </c>
      <c r="J54" s="53"/>
      <c r="K54" s="53"/>
      <c r="L54" s="53"/>
      <c r="M54" s="59"/>
      <c r="N54" s="59"/>
      <c r="O54" s="59"/>
      <c r="P54" s="59"/>
      <c r="Q54" s="59"/>
    </row>
    <row r="55" spans="1:17" ht="12.75" customHeight="1" x14ac:dyDescent="0.25">
      <c r="A55" s="53">
        <v>7</v>
      </c>
      <c r="B55" s="53">
        <v>2019</v>
      </c>
      <c r="C55" s="53" t="str">
        <f t="shared" si="2"/>
        <v>Income: 1</v>
      </c>
      <c r="D55" s="73" t="s">
        <v>559</v>
      </c>
      <c r="E55" s="56" t="s">
        <v>49</v>
      </c>
      <c r="F55" s="58">
        <v>695</v>
      </c>
      <c r="G55" s="58">
        <v>0</v>
      </c>
      <c r="H55" s="58">
        <f t="shared" si="3"/>
        <v>-145</v>
      </c>
      <c r="I55" s="53">
        <v>3477</v>
      </c>
      <c r="J55" s="53"/>
      <c r="K55" s="53"/>
      <c r="L55" s="53"/>
      <c r="M55" s="59"/>
      <c r="N55" s="59"/>
      <c r="O55" s="59"/>
      <c r="P55" s="59"/>
      <c r="Q55" s="59"/>
    </row>
    <row r="56" spans="1:17" ht="12.75" customHeight="1" x14ac:dyDescent="0.2">
      <c r="A56" s="53">
        <v>7</v>
      </c>
      <c r="B56" s="53">
        <v>2019</v>
      </c>
      <c r="C56" s="53" t="str">
        <f t="shared" si="2"/>
        <v>Late Fee 1</v>
      </c>
      <c r="D56" s="73" t="s">
        <v>559</v>
      </c>
      <c r="E56" s="53" t="s">
        <v>50</v>
      </c>
      <c r="F56" s="58">
        <v>0</v>
      </c>
      <c r="G56" s="58">
        <v>145</v>
      </c>
      <c r="H56" s="58">
        <f t="shared" si="3"/>
        <v>0</v>
      </c>
      <c r="I56" s="53">
        <v>3478</v>
      </c>
      <c r="J56" s="53"/>
      <c r="K56" s="53"/>
      <c r="L56" s="53"/>
      <c r="M56" s="59"/>
      <c r="N56" s="59"/>
      <c r="O56" s="59"/>
      <c r="P56" s="59"/>
      <c r="Q56" s="59"/>
    </row>
    <row r="57" spans="1:17" ht="12.75" customHeight="1" x14ac:dyDescent="0.2">
      <c r="A57" s="53">
        <v>8</v>
      </c>
      <c r="B57" s="53">
        <v>2019</v>
      </c>
      <c r="C57" s="53" t="str">
        <f t="shared" si="2"/>
        <v>Rent: 1</v>
      </c>
      <c r="D57" s="73" t="s">
        <v>560</v>
      </c>
      <c r="E57" s="53" t="s">
        <v>360</v>
      </c>
      <c r="F57" s="58">
        <v>0</v>
      </c>
      <c r="G57" s="58">
        <v>1326.1297</v>
      </c>
      <c r="H57" s="58">
        <f t="shared" si="3"/>
        <v>1326.1297</v>
      </c>
      <c r="I57" s="53">
        <v>3479</v>
      </c>
      <c r="J57" s="53"/>
      <c r="K57" s="53"/>
      <c r="L57" s="53"/>
      <c r="M57" s="59"/>
      <c r="N57" s="59"/>
      <c r="O57" s="59"/>
      <c r="P57" s="59"/>
      <c r="Q57" s="59"/>
    </row>
    <row r="58" spans="1:17" ht="12.75" customHeight="1" x14ac:dyDescent="0.2">
      <c r="A58" s="53">
        <v>8</v>
      </c>
      <c r="B58" s="53">
        <v>2019</v>
      </c>
      <c r="C58" s="53" t="str">
        <f t="shared" si="2"/>
        <v>Priv Tax: 1</v>
      </c>
      <c r="D58" s="73" t="s">
        <v>560</v>
      </c>
      <c r="E58" s="53" t="s">
        <v>59</v>
      </c>
      <c r="F58" s="58">
        <v>0</v>
      </c>
      <c r="G58" s="58">
        <v>23.8703</v>
      </c>
      <c r="H58" s="58">
        <f t="shared" si="3"/>
        <v>1350</v>
      </c>
      <c r="I58" s="53">
        <v>3480</v>
      </c>
      <c r="J58" s="53"/>
      <c r="K58" s="53"/>
      <c r="L58" s="53"/>
      <c r="M58" s="59"/>
      <c r="N58" s="59"/>
      <c r="O58" s="59"/>
      <c r="P58" s="59"/>
      <c r="Q58" s="59"/>
    </row>
    <row r="59" spans="1:17" ht="12.75" customHeight="1" x14ac:dyDescent="0.25">
      <c r="A59" s="53">
        <v>8</v>
      </c>
      <c r="B59" s="53">
        <v>2019</v>
      </c>
      <c r="C59" s="53" t="str">
        <f t="shared" si="2"/>
        <v>Income: 1</v>
      </c>
      <c r="D59" s="73" t="s">
        <v>561</v>
      </c>
      <c r="E59" s="56" t="s">
        <v>49</v>
      </c>
      <c r="F59" s="58">
        <v>1100</v>
      </c>
      <c r="G59" s="58">
        <v>0</v>
      </c>
      <c r="H59" s="58">
        <f t="shared" si="3"/>
        <v>250</v>
      </c>
      <c r="I59" s="53">
        <v>3481</v>
      </c>
      <c r="J59" s="58"/>
      <c r="K59" s="53"/>
      <c r="L59" s="53"/>
      <c r="M59" s="59"/>
      <c r="N59" s="59"/>
      <c r="O59" s="59"/>
      <c r="P59" s="59"/>
      <c r="Q59" s="59"/>
    </row>
    <row r="60" spans="1:17" ht="12.75" customHeight="1" x14ac:dyDescent="0.25">
      <c r="A60" s="53">
        <v>8</v>
      </c>
      <c r="B60" s="53">
        <v>2019</v>
      </c>
      <c r="C60" s="53" t="str">
        <f t="shared" si="2"/>
        <v>Income: 1</v>
      </c>
      <c r="D60" s="73" t="s">
        <v>562</v>
      </c>
      <c r="E60" s="56" t="s">
        <v>49</v>
      </c>
      <c r="F60" s="58">
        <v>365</v>
      </c>
      <c r="G60" s="58">
        <v>0</v>
      </c>
      <c r="H60" s="58">
        <f t="shared" si="3"/>
        <v>-115</v>
      </c>
      <c r="I60" s="53">
        <v>3482</v>
      </c>
      <c r="J60" s="53"/>
      <c r="K60" s="53"/>
      <c r="L60" s="53"/>
      <c r="M60" s="59"/>
      <c r="N60" s="59"/>
      <c r="O60" s="59"/>
      <c r="P60" s="59"/>
      <c r="Q60" s="59"/>
    </row>
    <row r="61" spans="1:17" ht="12.75" customHeight="1" x14ac:dyDescent="0.2">
      <c r="A61" s="53">
        <v>7</v>
      </c>
      <c r="B61" s="53">
        <v>2019</v>
      </c>
      <c r="C61" s="53" t="str">
        <f t="shared" si="2"/>
        <v>Late Fee 1</v>
      </c>
      <c r="D61" s="73" t="s">
        <v>559</v>
      </c>
      <c r="E61" s="53" t="s">
        <v>50</v>
      </c>
      <c r="F61" s="58">
        <v>0</v>
      </c>
      <c r="G61" s="58">
        <v>115</v>
      </c>
      <c r="H61" s="58">
        <f t="shared" si="3"/>
        <v>0</v>
      </c>
      <c r="I61" s="53">
        <v>3483</v>
      </c>
      <c r="J61" s="53"/>
      <c r="K61" s="53"/>
      <c r="L61" s="53"/>
      <c r="M61" s="59"/>
      <c r="N61" s="59"/>
      <c r="O61" s="59"/>
      <c r="P61" s="59"/>
      <c r="Q61" s="59"/>
    </row>
    <row r="62" spans="1:17" ht="12.75" customHeight="1" x14ac:dyDescent="0.2">
      <c r="A62" s="53">
        <v>9</v>
      </c>
      <c r="B62" s="53">
        <v>2019</v>
      </c>
      <c r="C62" s="53" t="str">
        <f t="shared" si="2"/>
        <v>Rent: 1</v>
      </c>
      <c r="D62" s="73" t="s">
        <v>563</v>
      </c>
      <c r="E62" s="53" t="s">
        <v>363</v>
      </c>
      <c r="F62" s="58">
        <v>0</v>
      </c>
      <c r="G62" s="58">
        <v>1326.1297</v>
      </c>
      <c r="H62" s="58">
        <f t="shared" si="3"/>
        <v>1326.1297</v>
      </c>
      <c r="I62" s="53">
        <v>3484</v>
      </c>
      <c r="J62" s="59"/>
      <c r="K62" s="53"/>
      <c r="L62" s="53"/>
      <c r="M62" s="59"/>
      <c r="N62" s="59"/>
      <c r="O62" s="59"/>
      <c r="P62" s="59"/>
      <c r="Q62" s="59"/>
    </row>
    <row r="63" spans="1:17" ht="12.75" customHeight="1" x14ac:dyDescent="0.2">
      <c r="A63" s="53">
        <v>9</v>
      </c>
      <c r="B63" s="53">
        <v>2019</v>
      </c>
      <c r="C63" s="53" t="str">
        <f t="shared" si="2"/>
        <v>Priv Tax: 1</v>
      </c>
      <c r="D63" s="73" t="s">
        <v>563</v>
      </c>
      <c r="E63" s="53" t="s">
        <v>59</v>
      </c>
      <c r="F63" s="58">
        <v>0</v>
      </c>
      <c r="G63" s="58">
        <v>23.8703</v>
      </c>
      <c r="H63" s="58">
        <f t="shared" si="3"/>
        <v>1350</v>
      </c>
      <c r="I63" s="53">
        <v>3485</v>
      </c>
      <c r="J63" s="63"/>
      <c r="K63" s="53"/>
      <c r="L63" s="53"/>
      <c r="M63" s="59"/>
      <c r="N63" s="59"/>
      <c r="O63" s="59"/>
      <c r="P63" s="59"/>
      <c r="Q63" s="59"/>
    </row>
    <row r="64" spans="1:17" ht="12.75" customHeight="1" x14ac:dyDescent="0.25">
      <c r="A64" s="53">
        <v>9</v>
      </c>
      <c r="B64" s="53">
        <v>2019</v>
      </c>
      <c r="C64" s="53" t="str">
        <f t="shared" si="2"/>
        <v>Income: 1</v>
      </c>
      <c r="D64" s="73" t="s">
        <v>564</v>
      </c>
      <c r="E64" s="56" t="s">
        <v>49</v>
      </c>
      <c r="F64" s="58">
        <v>1575</v>
      </c>
      <c r="G64" s="58">
        <v>0</v>
      </c>
      <c r="H64" s="58">
        <f t="shared" si="3"/>
        <v>-225</v>
      </c>
      <c r="I64" s="53">
        <v>3486</v>
      </c>
      <c r="J64" s="53"/>
      <c r="K64" s="53"/>
      <c r="L64" s="53"/>
      <c r="M64" s="59"/>
      <c r="N64" s="59"/>
      <c r="O64" s="59"/>
      <c r="P64" s="59"/>
      <c r="Q64" s="59"/>
    </row>
    <row r="65" spans="1:17" ht="12.75" customHeight="1" x14ac:dyDescent="0.2">
      <c r="A65" s="53">
        <v>9</v>
      </c>
      <c r="B65" s="53">
        <v>2019</v>
      </c>
      <c r="C65" s="53" t="str">
        <f t="shared" si="2"/>
        <v>Late Fee 1</v>
      </c>
      <c r="D65" s="73" t="s">
        <v>564</v>
      </c>
      <c r="E65" s="53" t="s">
        <v>50</v>
      </c>
      <c r="F65" s="58">
        <v>0</v>
      </c>
      <c r="G65" s="58">
        <v>225</v>
      </c>
      <c r="H65" s="58">
        <f t="shared" si="3"/>
        <v>0</v>
      </c>
      <c r="I65" s="53">
        <v>3487</v>
      </c>
      <c r="J65" s="53"/>
      <c r="K65" s="53"/>
      <c r="L65" s="53"/>
      <c r="M65" s="59"/>
      <c r="N65" s="59"/>
      <c r="O65" s="59"/>
      <c r="P65" s="59"/>
      <c r="Q65" s="59"/>
    </row>
    <row r="66" spans="1:17" ht="12.75" customHeight="1" x14ac:dyDescent="0.2">
      <c r="A66" s="53">
        <v>10</v>
      </c>
      <c r="B66" s="53">
        <v>2019</v>
      </c>
      <c r="C66" s="53" t="str">
        <f t="shared" si="2"/>
        <v>Rent: 1</v>
      </c>
      <c r="D66" s="73" t="s">
        <v>565</v>
      </c>
      <c r="E66" s="53" t="s">
        <v>366</v>
      </c>
      <c r="F66" s="58">
        <v>0</v>
      </c>
      <c r="G66" s="58">
        <v>1326.1297</v>
      </c>
      <c r="H66" s="58">
        <f t="shared" si="3"/>
        <v>1326.1297</v>
      </c>
      <c r="I66" s="53">
        <v>3488</v>
      </c>
      <c r="J66" s="53"/>
      <c r="K66" s="53"/>
      <c r="L66" s="53"/>
      <c r="M66" s="59"/>
      <c r="N66" s="59"/>
      <c r="O66" s="59"/>
      <c r="P66" s="59"/>
      <c r="Q66" s="59"/>
    </row>
    <row r="67" spans="1:17" ht="12.75" customHeight="1" x14ac:dyDescent="0.2">
      <c r="A67" s="53">
        <v>10</v>
      </c>
      <c r="B67" s="53">
        <v>2019</v>
      </c>
      <c r="C67" s="53" t="str">
        <f t="shared" si="2"/>
        <v>Priv Tax: 1</v>
      </c>
      <c r="D67" s="73" t="s">
        <v>565</v>
      </c>
      <c r="E67" s="53" t="s">
        <v>59</v>
      </c>
      <c r="F67" s="58">
        <v>0</v>
      </c>
      <c r="G67" s="58">
        <v>23.8703</v>
      </c>
      <c r="H67" s="58">
        <f t="shared" si="3"/>
        <v>1350</v>
      </c>
      <c r="I67" s="53">
        <v>3489</v>
      </c>
      <c r="J67" s="53"/>
      <c r="K67" s="53"/>
      <c r="L67" s="53"/>
      <c r="M67" s="59"/>
      <c r="N67" s="59"/>
      <c r="O67" s="59"/>
      <c r="P67" s="59"/>
      <c r="Q67" s="59"/>
    </row>
    <row r="68" spans="1:17" ht="12.75" customHeight="1" x14ac:dyDescent="0.25">
      <c r="A68" s="53">
        <v>11</v>
      </c>
      <c r="B68" s="53">
        <v>2019</v>
      </c>
      <c r="C68" s="53" t="str">
        <f t="shared" si="2"/>
        <v>Income: 1</v>
      </c>
      <c r="D68" s="73" t="s">
        <v>566</v>
      </c>
      <c r="E68" s="56" t="s">
        <v>49</v>
      </c>
      <c r="F68" s="58">
        <v>1350</v>
      </c>
      <c r="G68" s="58">
        <v>0</v>
      </c>
      <c r="H68" s="58">
        <f t="shared" si="3"/>
        <v>0</v>
      </c>
      <c r="I68" s="53">
        <v>3490</v>
      </c>
      <c r="J68" s="53"/>
      <c r="K68" s="53"/>
      <c r="L68" s="53"/>
      <c r="M68" s="59"/>
      <c r="N68" s="59"/>
      <c r="O68" s="59"/>
      <c r="P68" s="59"/>
      <c r="Q68" s="59"/>
    </row>
    <row r="69" spans="1:17" ht="12.75" customHeight="1" x14ac:dyDescent="0.2">
      <c r="A69" s="53">
        <v>11</v>
      </c>
      <c r="B69" s="53">
        <v>2019</v>
      </c>
      <c r="C69" s="53" t="str">
        <f t="shared" ref="C69:C100" si="4">IFERROR("Late Fee "&amp;FIND("Late Fee",E69),IFERROR("Internet "&amp;FIND("Internet",E69),IFERROR("Utilities "&amp;FIND("Utilities",E69),IFERROR("Rent: "&amp;FIND("Rent",E69),IFERROR("Priv Tax: "&amp;FIND("Tax",E69),IFERROR("Income: "&amp;FIND("Payment",E69,1),""))))))</f>
        <v>Late Fee 1</v>
      </c>
      <c r="D69" s="73" t="s">
        <v>566</v>
      </c>
      <c r="E69" s="53" t="s">
        <v>50</v>
      </c>
      <c r="F69" s="58">
        <v>0</v>
      </c>
      <c r="G69" s="58">
        <v>50</v>
      </c>
      <c r="H69" s="58">
        <f t="shared" si="3"/>
        <v>50</v>
      </c>
      <c r="I69" s="53">
        <v>3491</v>
      </c>
      <c r="J69" s="53"/>
      <c r="K69" s="53"/>
      <c r="L69" s="53"/>
      <c r="M69" s="59"/>
      <c r="N69" s="59"/>
      <c r="O69" s="59"/>
      <c r="P69" s="59"/>
      <c r="Q69" s="59"/>
    </row>
    <row r="70" spans="1:17" ht="12.75" customHeight="1" x14ac:dyDescent="0.2">
      <c r="A70" s="53">
        <v>11</v>
      </c>
      <c r="B70" s="53">
        <v>2019</v>
      </c>
      <c r="C70" s="53" t="str">
        <f t="shared" si="4"/>
        <v>Rent: 1</v>
      </c>
      <c r="D70" s="73" t="s">
        <v>567</v>
      </c>
      <c r="E70" s="53" t="s">
        <v>369</v>
      </c>
      <c r="F70" s="58">
        <v>0</v>
      </c>
      <c r="G70" s="58">
        <v>1326.1297</v>
      </c>
      <c r="H70" s="58">
        <f t="shared" ref="H70:H101" si="5" xml:space="preserve"> H69 + G70 - F70</f>
        <v>1376.1297</v>
      </c>
      <c r="I70" s="53">
        <v>3492</v>
      </c>
      <c r="J70" s="58"/>
      <c r="K70" s="53"/>
      <c r="L70" s="53"/>
      <c r="M70" s="59"/>
      <c r="N70" s="59"/>
      <c r="O70" s="59"/>
      <c r="P70" s="59"/>
      <c r="Q70" s="59"/>
    </row>
    <row r="71" spans="1:17" ht="12.75" customHeight="1" x14ac:dyDescent="0.2">
      <c r="A71" s="53">
        <v>11</v>
      </c>
      <c r="B71" s="53">
        <v>2019</v>
      </c>
      <c r="C71" s="53" t="str">
        <f t="shared" si="4"/>
        <v>Priv Tax: 1</v>
      </c>
      <c r="D71" s="73" t="s">
        <v>567</v>
      </c>
      <c r="E71" s="53" t="s">
        <v>59</v>
      </c>
      <c r="F71" s="58">
        <v>0</v>
      </c>
      <c r="G71" s="58">
        <v>23.8703</v>
      </c>
      <c r="H71" s="58">
        <f t="shared" si="5"/>
        <v>1400</v>
      </c>
      <c r="I71" s="53">
        <v>3493</v>
      </c>
      <c r="J71" s="53"/>
      <c r="K71" s="53"/>
      <c r="L71" s="53"/>
      <c r="M71" s="59"/>
      <c r="N71" s="59"/>
      <c r="O71" s="59"/>
      <c r="P71" s="59"/>
      <c r="Q71" s="59"/>
    </row>
    <row r="72" spans="1:17" ht="12.75" customHeight="1" x14ac:dyDescent="0.25">
      <c r="A72" s="53">
        <v>12</v>
      </c>
      <c r="B72" s="53">
        <v>2019</v>
      </c>
      <c r="C72" s="53" t="str">
        <f t="shared" si="4"/>
        <v>Income: 1</v>
      </c>
      <c r="D72" s="73" t="s">
        <v>373</v>
      </c>
      <c r="E72" s="56" t="s">
        <v>49</v>
      </c>
      <c r="F72" s="58">
        <v>1400</v>
      </c>
      <c r="G72" s="58">
        <v>0</v>
      </c>
      <c r="H72" s="58">
        <f t="shared" si="5"/>
        <v>0</v>
      </c>
      <c r="I72" s="53">
        <v>3494</v>
      </c>
      <c r="J72" s="53"/>
      <c r="K72" s="53"/>
      <c r="L72" s="53"/>
      <c r="M72" s="59"/>
      <c r="N72" s="59"/>
      <c r="O72" s="59"/>
      <c r="P72" s="59"/>
      <c r="Q72" s="59"/>
    </row>
    <row r="73" spans="1:17" ht="12.75" customHeight="1" x14ac:dyDescent="0.2">
      <c r="A73" s="53">
        <v>12</v>
      </c>
      <c r="B73" s="53">
        <v>2019</v>
      </c>
      <c r="C73" s="53" t="str">
        <f t="shared" si="4"/>
        <v>Rent: 1</v>
      </c>
      <c r="D73" s="73" t="s">
        <v>568</v>
      </c>
      <c r="E73" s="53" t="s">
        <v>372</v>
      </c>
      <c r="F73" s="58">
        <v>0</v>
      </c>
      <c r="G73" s="58">
        <v>1326.1297</v>
      </c>
      <c r="H73" s="58">
        <f t="shared" si="5"/>
        <v>1326.1297</v>
      </c>
      <c r="I73" s="53">
        <v>3495</v>
      </c>
      <c r="J73" s="53"/>
      <c r="K73" s="53"/>
      <c r="L73" s="53"/>
      <c r="M73" s="59"/>
      <c r="N73" s="59"/>
      <c r="O73" s="59"/>
      <c r="P73" s="59"/>
      <c r="Q73" s="59"/>
    </row>
    <row r="74" spans="1:17" ht="12.75" customHeight="1" x14ac:dyDescent="0.2">
      <c r="A74" s="53">
        <v>12</v>
      </c>
      <c r="B74" s="53">
        <v>2019</v>
      </c>
      <c r="C74" s="53" t="str">
        <f t="shared" si="4"/>
        <v>Priv Tax: 1</v>
      </c>
      <c r="D74" s="73" t="s">
        <v>568</v>
      </c>
      <c r="E74" s="53" t="s">
        <v>59</v>
      </c>
      <c r="F74" s="58">
        <v>0</v>
      </c>
      <c r="G74" s="58">
        <v>23.8703</v>
      </c>
      <c r="H74" s="58">
        <f t="shared" si="5"/>
        <v>1350</v>
      </c>
      <c r="I74" s="53">
        <v>3496</v>
      </c>
      <c r="J74" s="53"/>
      <c r="K74" s="53"/>
      <c r="L74" s="53"/>
      <c r="M74" s="59"/>
      <c r="N74" s="59"/>
      <c r="O74" s="59"/>
      <c r="P74" s="59"/>
      <c r="Q74" s="59"/>
    </row>
    <row r="75" spans="1:17" ht="12.75" customHeight="1" x14ac:dyDescent="0.25">
      <c r="A75" s="53">
        <v>1</v>
      </c>
      <c r="B75" s="53">
        <v>2020</v>
      </c>
      <c r="C75" s="53" t="str">
        <f t="shared" si="4"/>
        <v>Income: 1</v>
      </c>
      <c r="D75" s="73" t="s">
        <v>569</v>
      </c>
      <c r="E75" s="56" t="s">
        <v>49</v>
      </c>
      <c r="F75" s="58">
        <v>1500</v>
      </c>
      <c r="G75" s="58">
        <v>0</v>
      </c>
      <c r="H75" s="58">
        <f t="shared" si="5"/>
        <v>-150</v>
      </c>
      <c r="I75" s="53">
        <v>3497</v>
      </c>
      <c r="J75" s="53"/>
      <c r="K75" s="53"/>
      <c r="L75" s="53"/>
      <c r="M75" s="59"/>
      <c r="N75" s="59"/>
      <c r="O75" s="59"/>
      <c r="P75" s="59"/>
      <c r="Q75" s="59"/>
    </row>
    <row r="76" spans="1:17" ht="12.75" customHeight="1" x14ac:dyDescent="0.2">
      <c r="A76" s="53">
        <v>11</v>
      </c>
      <c r="B76" s="53">
        <v>2019</v>
      </c>
      <c r="C76" s="53" t="str">
        <f t="shared" si="4"/>
        <v>Late Fee 1</v>
      </c>
      <c r="D76" s="73" t="s">
        <v>566</v>
      </c>
      <c r="E76" s="53" t="s">
        <v>50</v>
      </c>
      <c r="F76" s="58">
        <v>0</v>
      </c>
      <c r="G76" s="58">
        <v>150</v>
      </c>
      <c r="H76" s="58">
        <f t="shared" si="5"/>
        <v>0</v>
      </c>
      <c r="I76" s="53">
        <v>3498</v>
      </c>
      <c r="J76" s="53"/>
      <c r="K76" s="53"/>
      <c r="L76" s="53"/>
      <c r="M76" s="59"/>
      <c r="N76" s="59"/>
      <c r="O76" s="59"/>
      <c r="P76" s="59"/>
      <c r="Q76" s="59"/>
    </row>
    <row r="77" spans="1:17" ht="12.75" customHeight="1" x14ac:dyDescent="0.2">
      <c r="A77" s="53">
        <v>1</v>
      </c>
      <c r="B77" s="53">
        <v>2020</v>
      </c>
      <c r="C77" s="53" t="str">
        <f t="shared" si="4"/>
        <v>Rent: 1</v>
      </c>
      <c r="D77" s="73" t="s">
        <v>570</v>
      </c>
      <c r="E77" s="53" t="s">
        <v>160</v>
      </c>
      <c r="F77" s="58">
        <v>0</v>
      </c>
      <c r="G77" s="58">
        <v>1326.1297</v>
      </c>
      <c r="H77" s="58">
        <f t="shared" si="5"/>
        <v>1326.1297</v>
      </c>
      <c r="I77" s="53">
        <v>3499</v>
      </c>
      <c r="J77" s="53"/>
      <c r="K77" s="53"/>
      <c r="L77" s="53"/>
      <c r="M77" s="59"/>
      <c r="N77" s="59"/>
      <c r="O77" s="59"/>
      <c r="P77" s="59"/>
      <c r="Q77" s="59"/>
    </row>
    <row r="78" spans="1:17" ht="12.75" customHeight="1" x14ac:dyDescent="0.2">
      <c r="A78" s="53">
        <v>1</v>
      </c>
      <c r="B78" s="53">
        <v>2020</v>
      </c>
      <c r="C78" s="53" t="str">
        <f t="shared" si="4"/>
        <v>Priv Tax: 1</v>
      </c>
      <c r="D78" s="73" t="s">
        <v>570</v>
      </c>
      <c r="E78" s="53" t="s">
        <v>59</v>
      </c>
      <c r="F78" s="58">
        <v>0</v>
      </c>
      <c r="G78" s="58">
        <v>23.8703</v>
      </c>
      <c r="H78" s="58">
        <f t="shared" si="5"/>
        <v>1350</v>
      </c>
      <c r="I78" s="53">
        <v>3500</v>
      </c>
      <c r="J78" s="53"/>
      <c r="K78" s="53"/>
      <c r="L78" s="53"/>
      <c r="M78" s="59"/>
      <c r="N78" s="59"/>
      <c r="O78" s="59"/>
      <c r="P78" s="59"/>
      <c r="Q78" s="59"/>
    </row>
    <row r="79" spans="1:17" ht="12.75" customHeight="1" x14ac:dyDescent="0.25">
      <c r="A79" s="53">
        <v>2</v>
      </c>
      <c r="B79" s="53">
        <v>2020</v>
      </c>
      <c r="C79" s="53" t="str">
        <f t="shared" si="4"/>
        <v>Income: 1</v>
      </c>
      <c r="D79" s="73" t="s">
        <v>571</v>
      </c>
      <c r="E79" s="56" t="s">
        <v>49</v>
      </c>
      <c r="F79" s="58">
        <v>1500</v>
      </c>
      <c r="G79" s="58">
        <v>0</v>
      </c>
      <c r="H79" s="58">
        <f t="shared" si="5"/>
        <v>-150</v>
      </c>
      <c r="I79" s="53">
        <v>3501</v>
      </c>
      <c r="J79" s="53"/>
      <c r="K79" s="53"/>
      <c r="L79" s="53"/>
      <c r="M79" s="59"/>
      <c r="N79" s="59"/>
      <c r="O79" s="59"/>
      <c r="P79" s="59"/>
      <c r="Q79" s="59"/>
    </row>
    <row r="80" spans="1:17" ht="12.75" customHeight="1" x14ac:dyDescent="0.2">
      <c r="A80" s="53">
        <v>11</v>
      </c>
      <c r="B80" s="53">
        <v>2019</v>
      </c>
      <c r="C80" s="53" t="str">
        <f t="shared" si="4"/>
        <v>Late Fee 1</v>
      </c>
      <c r="D80" s="73" t="s">
        <v>566</v>
      </c>
      <c r="E80" s="53" t="s">
        <v>50</v>
      </c>
      <c r="F80" s="58">
        <v>0</v>
      </c>
      <c r="G80" s="58">
        <v>150</v>
      </c>
      <c r="H80" s="58">
        <f t="shared" si="5"/>
        <v>0</v>
      </c>
      <c r="I80" s="53">
        <v>3502</v>
      </c>
      <c r="J80" s="53"/>
      <c r="K80" s="53"/>
      <c r="L80" s="53"/>
      <c r="M80" s="59"/>
      <c r="N80" s="59"/>
      <c r="O80" s="59"/>
      <c r="P80" s="59"/>
      <c r="Q80" s="59"/>
    </row>
    <row r="81" spans="1:17" ht="12.75" customHeight="1" x14ac:dyDescent="0.2">
      <c r="A81" s="53">
        <v>2</v>
      </c>
      <c r="B81" s="53">
        <v>2020</v>
      </c>
      <c r="C81" s="53" t="str">
        <f t="shared" si="4"/>
        <v>Rent: 1</v>
      </c>
      <c r="D81" s="73" t="s">
        <v>572</v>
      </c>
      <c r="E81" s="53" t="s">
        <v>126</v>
      </c>
      <c r="F81" s="58">
        <v>0</v>
      </c>
      <c r="G81" s="58">
        <v>1326.1297</v>
      </c>
      <c r="H81" s="58">
        <f t="shared" si="5"/>
        <v>1326.1297</v>
      </c>
      <c r="I81" s="53">
        <v>3503</v>
      </c>
      <c r="J81" s="53"/>
      <c r="K81" s="53"/>
      <c r="L81" s="53"/>
      <c r="M81" s="59"/>
      <c r="N81" s="59"/>
      <c r="O81" s="59"/>
      <c r="P81" s="59"/>
      <c r="Q81" s="59"/>
    </row>
    <row r="82" spans="1:17" ht="12.75" customHeight="1" x14ac:dyDescent="0.2">
      <c r="A82" s="53">
        <v>2</v>
      </c>
      <c r="B82" s="53">
        <v>2020</v>
      </c>
      <c r="C82" s="53" t="str">
        <f t="shared" si="4"/>
        <v>Priv Tax: 1</v>
      </c>
      <c r="D82" s="73" t="s">
        <v>572</v>
      </c>
      <c r="E82" s="53" t="s">
        <v>59</v>
      </c>
      <c r="F82" s="58">
        <v>0</v>
      </c>
      <c r="G82" s="58">
        <v>23.8703</v>
      </c>
      <c r="H82" s="58">
        <f t="shared" si="5"/>
        <v>1350</v>
      </c>
      <c r="I82" s="53">
        <v>3504</v>
      </c>
      <c r="J82" s="58"/>
      <c r="K82" s="53"/>
      <c r="L82" s="53"/>
      <c r="M82" s="59"/>
      <c r="N82" s="59"/>
      <c r="O82" s="59"/>
      <c r="P82" s="59"/>
      <c r="Q82" s="59"/>
    </row>
    <row r="83" spans="1:17" ht="12.75" customHeight="1" x14ac:dyDescent="0.25">
      <c r="A83" s="53">
        <v>3</v>
      </c>
      <c r="B83" s="53">
        <v>2020</v>
      </c>
      <c r="C83" s="53" t="str">
        <f t="shared" si="4"/>
        <v>Income: 1</v>
      </c>
      <c r="D83" s="73" t="s">
        <v>573</v>
      </c>
      <c r="E83" s="56" t="s">
        <v>49</v>
      </c>
      <c r="F83" s="58">
        <v>1435</v>
      </c>
      <c r="G83" s="58">
        <v>0</v>
      </c>
      <c r="H83" s="58">
        <f t="shared" si="5"/>
        <v>-85</v>
      </c>
      <c r="I83" s="53">
        <v>3505</v>
      </c>
      <c r="J83" s="53"/>
      <c r="K83" s="53"/>
      <c r="L83" s="53"/>
      <c r="M83" s="59"/>
      <c r="N83" s="59"/>
      <c r="O83" s="59"/>
      <c r="P83" s="59"/>
      <c r="Q83" s="59"/>
    </row>
    <row r="84" spans="1:17" ht="12.75" customHeight="1" x14ac:dyDescent="0.2">
      <c r="A84" s="53">
        <v>3</v>
      </c>
      <c r="B84" s="53">
        <v>2019</v>
      </c>
      <c r="C84" s="53" t="str">
        <f t="shared" si="4"/>
        <v>Late Fee 1</v>
      </c>
      <c r="D84" s="73" t="s">
        <v>574</v>
      </c>
      <c r="E84" s="53" t="s">
        <v>50</v>
      </c>
      <c r="F84" s="58">
        <v>0</v>
      </c>
      <c r="G84" s="58">
        <v>85</v>
      </c>
      <c r="H84" s="58">
        <f t="shared" si="5"/>
        <v>0</v>
      </c>
      <c r="I84" s="53">
        <v>3506</v>
      </c>
      <c r="J84" s="53"/>
      <c r="K84" s="53"/>
      <c r="L84" s="53"/>
      <c r="M84" s="59"/>
      <c r="N84" s="59"/>
      <c r="O84" s="59"/>
      <c r="P84" s="59"/>
      <c r="Q84" s="59"/>
    </row>
    <row r="85" spans="1:17" ht="12.75" customHeight="1" x14ac:dyDescent="0.2">
      <c r="A85" s="53">
        <v>3</v>
      </c>
      <c r="B85" s="53">
        <v>2020</v>
      </c>
      <c r="C85" s="53" t="str">
        <f t="shared" si="4"/>
        <v>Rent: 1</v>
      </c>
      <c r="D85" s="73" t="s">
        <v>504</v>
      </c>
      <c r="E85" s="53" t="s">
        <v>129</v>
      </c>
      <c r="F85" s="58">
        <v>0</v>
      </c>
      <c r="G85" s="58">
        <v>1326.1297</v>
      </c>
      <c r="H85" s="58">
        <f t="shared" si="5"/>
        <v>1326.1297</v>
      </c>
      <c r="I85" s="53">
        <v>3507</v>
      </c>
      <c r="J85" s="53"/>
      <c r="K85" s="53"/>
      <c r="L85" s="53"/>
      <c r="M85" s="59"/>
      <c r="N85" s="59"/>
      <c r="O85" s="59"/>
      <c r="P85" s="59"/>
      <c r="Q85" s="59"/>
    </row>
    <row r="86" spans="1:17" ht="12.75" customHeight="1" x14ac:dyDescent="0.2">
      <c r="A86" s="53">
        <v>3</v>
      </c>
      <c r="B86" s="53">
        <v>2020</v>
      </c>
      <c r="C86" s="53" t="str">
        <f t="shared" si="4"/>
        <v>Priv Tax: 1</v>
      </c>
      <c r="D86" s="73" t="s">
        <v>504</v>
      </c>
      <c r="E86" s="53" t="s">
        <v>59</v>
      </c>
      <c r="F86" s="58">
        <v>0</v>
      </c>
      <c r="G86" s="58">
        <v>23.8703</v>
      </c>
      <c r="H86" s="58">
        <f t="shared" si="5"/>
        <v>1350</v>
      </c>
      <c r="I86" s="53">
        <v>3508</v>
      </c>
      <c r="J86" s="53"/>
      <c r="K86" s="53"/>
      <c r="L86" s="53"/>
      <c r="M86" s="59"/>
      <c r="N86" s="59"/>
      <c r="O86" s="59"/>
      <c r="P86" s="59"/>
      <c r="Q86" s="59"/>
    </row>
    <row r="87" spans="1:17" ht="12.75" customHeight="1" x14ac:dyDescent="0.25">
      <c r="A87" s="53">
        <v>4</v>
      </c>
      <c r="B87" s="53">
        <v>2020</v>
      </c>
      <c r="C87" s="53" t="str">
        <f t="shared" si="4"/>
        <v>Income: 1</v>
      </c>
      <c r="D87" s="73" t="s">
        <v>133</v>
      </c>
      <c r="E87" s="56" t="s">
        <v>49</v>
      </c>
      <c r="F87" s="58">
        <v>1350</v>
      </c>
      <c r="G87" s="58">
        <v>0</v>
      </c>
      <c r="H87" s="58">
        <f t="shared" si="5"/>
        <v>0</v>
      </c>
      <c r="I87" s="53">
        <v>3509</v>
      </c>
      <c r="J87" s="53"/>
      <c r="K87" s="53"/>
      <c r="L87" s="53"/>
      <c r="M87" s="59"/>
      <c r="N87" s="59"/>
      <c r="O87" s="59"/>
      <c r="P87" s="59"/>
      <c r="Q87" s="59"/>
    </row>
    <row r="88" spans="1:17" ht="12.75" customHeight="1" x14ac:dyDescent="0.2">
      <c r="A88" s="53">
        <v>4</v>
      </c>
      <c r="B88" s="53">
        <v>2020</v>
      </c>
      <c r="C88" s="53" t="str">
        <f t="shared" si="4"/>
        <v>Rent: 1</v>
      </c>
      <c r="D88" s="73" t="s">
        <v>575</v>
      </c>
      <c r="E88" s="53" t="s">
        <v>132</v>
      </c>
      <c r="F88" s="58">
        <v>0</v>
      </c>
      <c r="G88" s="58">
        <v>1326.1297</v>
      </c>
      <c r="H88" s="58">
        <f t="shared" si="5"/>
        <v>1326.1297</v>
      </c>
      <c r="I88" s="53">
        <v>3510</v>
      </c>
      <c r="J88" s="53"/>
      <c r="K88" s="53"/>
      <c r="L88" s="53"/>
      <c r="M88" s="59"/>
      <c r="N88" s="59"/>
      <c r="O88" s="59"/>
      <c r="P88" s="59"/>
      <c r="Q88" s="59"/>
    </row>
    <row r="89" spans="1:17" ht="12.75" customHeight="1" x14ac:dyDescent="0.2">
      <c r="A89" s="53">
        <v>4</v>
      </c>
      <c r="B89" s="53">
        <v>2020</v>
      </c>
      <c r="C89" s="53" t="str">
        <f t="shared" si="4"/>
        <v>Priv Tax: 1</v>
      </c>
      <c r="D89" s="73" t="s">
        <v>575</v>
      </c>
      <c r="E89" s="53" t="s">
        <v>59</v>
      </c>
      <c r="F89" s="58">
        <v>0</v>
      </c>
      <c r="G89" s="58">
        <v>23.8703</v>
      </c>
      <c r="H89" s="58">
        <f t="shared" si="5"/>
        <v>1350</v>
      </c>
      <c r="I89" s="53">
        <v>3511</v>
      </c>
      <c r="J89" s="53"/>
      <c r="K89" s="53"/>
      <c r="L89" s="53"/>
      <c r="M89" s="59"/>
      <c r="N89" s="59"/>
      <c r="O89" s="59"/>
      <c r="P89" s="59"/>
      <c r="Q89" s="59"/>
    </row>
    <row r="90" spans="1:17" ht="12.75" customHeight="1" x14ac:dyDescent="0.25">
      <c r="A90" s="53">
        <v>5</v>
      </c>
      <c r="B90" s="53">
        <v>2020</v>
      </c>
      <c r="C90" s="53" t="str">
        <f t="shared" si="4"/>
        <v>Income: 1</v>
      </c>
      <c r="D90" s="73" t="s">
        <v>485</v>
      </c>
      <c r="E90" s="56" t="s">
        <v>49</v>
      </c>
      <c r="F90" s="58">
        <v>1350</v>
      </c>
      <c r="G90" s="58">
        <v>0</v>
      </c>
      <c r="H90" s="58">
        <f t="shared" si="5"/>
        <v>0</v>
      </c>
      <c r="I90" s="53">
        <v>3512</v>
      </c>
      <c r="J90" s="53"/>
      <c r="K90" s="53"/>
      <c r="L90" s="53"/>
      <c r="M90" s="59"/>
      <c r="N90" s="59"/>
      <c r="O90" s="59"/>
      <c r="P90" s="59"/>
      <c r="Q90" s="59"/>
    </row>
    <row r="91" spans="1:17" ht="12.75" customHeight="1" x14ac:dyDescent="0.2">
      <c r="A91" s="53">
        <v>5</v>
      </c>
      <c r="B91" s="53">
        <v>2020</v>
      </c>
      <c r="C91" s="53" t="str">
        <f t="shared" si="4"/>
        <v>Rent: 1</v>
      </c>
      <c r="D91" s="73" t="s">
        <v>576</v>
      </c>
      <c r="E91" s="53" t="s">
        <v>135</v>
      </c>
      <c r="F91" s="58">
        <v>0</v>
      </c>
      <c r="G91" s="58">
        <v>1326.1297</v>
      </c>
      <c r="H91" s="58">
        <f t="shared" si="5"/>
        <v>1326.1297</v>
      </c>
      <c r="I91" s="53">
        <v>3513</v>
      </c>
      <c r="J91" s="58"/>
      <c r="K91" s="53"/>
      <c r="L91" s="53"/>
      <c r="M91" s="59"/>
      <c r="N91" s="59"/>
      <c r="O91" s="59"/>
      <c r="P91" s="59"/>
      <c r="Q91" s="59"/>
    </row>
    <row r="92" spans="1:17" ht="12.75" customHeight="1" x14ac:dyDescent="0.2">
      <c r="A92" s="53">
        <v>5</v>
      </c>
      <c r="B92" s="53">
        <v>2020</v>
      </c>
      <c r="C92" s="53" t="str">
        <f t="shared" si="4"/>
        <v>Priv Tax: 1</v>
      </c>
      <c r="D92" s="73" t="s">
        <v>576</v>
      </c>
      <c r="E92" s="53" t="s">
        <v>59</v>
      </c>
      <c r="F92" s="58">
        <v>0</v>
      </c>
      <c r="G92" s="58">
        <v>23.8703</v>
      </c>
      <c r="H92" s="58">
        <f t="shared" si="5"/>
        <v>1350</v>
      </c>
      <c r="I92" s="53">
        <v>3514</v>
      </c>
      <c r="J92" s="53"/>
      <c r="K92" s="53"/>
      <c r="L92" s="53"/>
      <c r="M92" s="59"/>
      <c r="N92" s="59"/>
      <c r="O92" s="59"/>
      <c r="P92" s="59"/>
      <c r="Q92" s="59"/>
    </row>
    <row r="93" spans="1:17" ht="12.75" customHeight="1" x14ac:dyDescent="0.25">
      <c r="A93" s="53">
        <v>6</v>
      </c>
      <c r="B93" s="53">
        <v>2020</v>
      </c>
      <c r="C93" s="53" t="str">
        <f t="shared" si="4"/>
        <v>Income: 1</v>
      </c>
      <c r="D93" s="73" t="s">
        <v>386</v>
      </c>
      <c r="E93" s="56" t="s">
        <v>49</v>
      </c>
      <c r="F93" s="58">
        <v>1350</v>
      </c>
      <c r="G93" s="58">
        <v>0</v>
      </c>
      <c r="H93" s="58">
        <f t="shared" si="5"/>
        <v>0</v>
      </c>
      <c r="I93" s="53">
        <v>3515</v>
      </c>
      <c r="J93" s="53"/>
      <c r="K93" s="53"/>
      <c r="L93" s="53"/>
      <c r="M93" s="59"/>
      <c r="N93" s="59"/>
      <c r="O93" s="59"/>
      <c r="P93" s="59"/>
      <c r="Q93" s="59"/>
    </row>
    <row r="94" spans="1:17" ht="12.75" customHeight="1" x14ac:dyDescent="0.2">
      <c r="A94" s="53">
        <v>6</v>
      </c>
      <c r="B94" s="53">
        <v>2020</v>
      </c>
      <c r="C94" s="53" t="str">
        <f t="shared" si="4"/>
        <v>Rent: 1</v>
      </c>
      <c r="D94" s="73" t="s">
        <v>577</v>
      </c>
      <c r="E94" s="53" t="s">
        <v>138</v>
      </c>
      <c r="F94" s="58">
        <v>0</v>
      </c>
      <c r="G94" s="58">
        <v>1326.1297</v>
      </c>
      <c r="H94" s="58">
        <f t="shared" si="5"/>
        <v>1326.1297</v>
      </c>
      <c r="I94" s="53">
        <v>3516</v>
      </c>
      <c r="J94" s="53"/>
      <c r="K94" s="53"/>
      <c r="L94" s="53"/>
      <c r="M94" s="59"/>
      <c r="N94" s="59"/>
      <c r="O94" s="59"/>
      <c r="P94" s="59"/>
      <c r="Q94" s="59"/>
    </row>
    <row r="95" spans="1:17" ht="12.75" customHeight="1" x14ac:dyDescent="0.2">
      <c r="A95" s="53">
        <v>6</v>
      </c>
      <c r="B95" s="53">
        <v>2020</v>
      </c>
      <c r="C95" s="53" t="str">
        <f t="shared" si="4"/>
        <v>Priv Tax: 1</v>
      </c>
      <c r="D95" s="73" t="s">
        <v>577</v>
      </c>
      <c r="E95" s="53" t="s">
        <v>59</v>
      </c>
      <c r="F95" s="58">
        <v>0</v>
      </c>
      <c r="G95" s="58">
        <v>23.8703</v>
      </c>
      <c r="H95" s="58">
        <f t="shared" si="5"/>
        <v>1350</v>
      </c>
      <c r="I95" s="53">
        <v>3517</v>
      </c>
      <c r="J95" s="53"/>
      <c r="K95" s="53"/>
      <c r="L95" s="53"/>
      <c r="M95" s="59"/>
      <c r="N95" s="59"/>
      <c r="O95" s="59"/>
      <c r="P95" s="59"/>
      <c r="Q95" s="59"/>
    </row>
    <row r="96" spans="1:17" ht="12.75" customHeight="1" x14ac:dyDescent="0.25">
      <c r="A96" s="53">
        <v>7</v>
      </c>
      <c r="B96" s="53">
        <v>2020</v>
      </c>
      <c r="C96" s="53" t="str">
        <f t="shared" si="4"/>
        <v>Income: 1</v>
      </c>
      <c r="D96" s="73" t="s">
        <v>578</v>
      </c>
      <c r="E96" s="56" t="s">
        <v>49</v>
      </c>
      <c r="F96" s="58">
        <v>1350</v>
      </c>
      <c r="G96" s="58">
        <v>0</v>
      </c>
      <c r="H96" s="58">
        <f t="shared" si="5"/>
        <v>0</v>
      </c>
      <c r="I96" s="53">
        <v>3518</v>
      </c>
      <c r="J96" s="53"/>
      <c r="K96" s="53"/>
      <c r="L96" s="53"/>
      <c r="M96" s="59"/>
      <c r="N96" s="59"/>
      <c r="O96" s="59"/>
      <c r="P96" s="59"/>
      <c r="Q96" s="59"/>
    </row>
    <row r="97" spans="1:17" ht="12.75" customHeight="1" x14ac:dyDescent="0.2">
      <c r="A97" s="53">
        <v>7</v>
      </c>
      <c r="B97" s="53">
        <v>2020</v>
      </c>
      <c r="C97" s="53" t="str">
        <f t="shared" si="4"/>
        <v>Rent: 1</v>
      </c>
      <c r="D97" s="73" t="s">
        <v>579</v>
      </c>
      <c r="E97" s="53" t="s">
        <v>142</v>
      </c>
      <c r="F97" s="58">
        <v>0</v>
      </c>
      <c r="G97" s="58">
        <v>1326.1297</v>
      </c>
      <c r="H97" s="58">
        <f t="shared" si="5"/>
        <v>1326.1297</v>
      </c>
      <c r="I97" s="59">
        <v>3519</v>
      </c>
      <c r="J97" s="59"/>
      <c r="K97" s="53"/>
      <c r="L97" s="53"/>
      <c r="M97" s="53"/>
      <c r="N97" s="53"/>
      <c r="O97" s="59"/>
      <c r="P97" s="59"/>
      <c r="Q97" s="59"/>
    </row>
    <row r="98" spans="1:17" ht="12.75" customHeight="1" x14ac:dyDescent="0.2">
      <c r="A98" s="53">
        <v>7</v>
      </c>
      <c r="B98" s="53">
        <v>2020</v>
      </c>
      <c r="C98" s="53" t="str">
        <f t="shared" si="4"/>
        <v>Priv Tax: 1</v>
      </c>
      <c r="D98" s="73" t="s">
        <v>579</v>
      </c>
      <c r="E98" s="53" t="s">
        <v>59</v>
      </c>
      <c r="F98" s="58">
        <v>0</v>
      </c>
      <c r="G98" s="58">
        <v>23.8703</v>
      </c>
      <c r="H98" s="58">
        <f t="shared" si="5"/>
        <v>1350</v>
      </c>
      <c r="I98" s="59">
        <v>3520</v>
      </c>
      <c r="J98" s="59"/>
      <c r="K98" s="59"/>
      <c r="L98" s="53"/>
      <c r="M98" s="58"/>
      <c r="N98" s="58"/>
      <c r="O98" s="53"/>
      <c r="P98" s="59"/>
      <c r="Q98" s="59"/>
    </row>
    <row r="99" spans="1:17" ht="12.75" customHeight="1" x14ac:dyDescent="0.25">
      <c r="A99" s="53">
        <v>8</v>
      </c>
      <c r="B99" s="53">
        <v>2020</v>
      </c>
      <c r="C99" s="53" t="str">
        <f t="shared" si="4"/>
        <v>Income: 1</v>
      </c>
      <c r="D99" s="73" t="s">
        <v>580</v>
      </c>
      <c r="E99" s="56" t="s">
        <v>49</v>
      </c>
      <c r="F99" s="58">
        <v>1350</v>
      </c>
      <c r="G99" s="58">
        <v>0</v>
      </c>
      <c r="H99" s="58">
        <f t="shared" si="5"/>
        <v>0</v>
      </c>
      <c r="I99" s="53">
        <v>3521</v>
      </c>
      <c r="J99" s="53"/>
      <c r="K99" s="53"/>
      <c r="L99" s="53"/>
      <c r="M99" s="59"/>
      <c r="N99" s="59"/>
      <c r="O99" s="59"/>
      <c r="P99" s="59"/>
      <c r="Q99" s="59"/>
    </row>
    <row r="100" spans="1:17" ht="12.75" customHeight="1" x14ac:dyDescent="0.2">
      <c r="A100" s="53">
        <v>8</v>
      </c>
      <c r="B100" s="53">
        <v>2020</v>
      </c>
      <c r="C100" s="53" t="str">
        <f t="shared" si="4"/>
        <v>Rent: 1</v>
      </c>
      <c r="D100" s="73" t="s">
        <v>581</v>
      </c>
      <c r="E100" s="53" t="s">
        <v>145</v>
      </c>
      <c r="F100" s="58">
        <v>0</v>
      </c>
      <c r="G100" s="58">
        <v>1326.1297</v>
      </c>
      <c r="H100" s="58">
        <f t="shared" si="5"/>
        <v>1326.1297</v>
      </c>
      <c r="I100" s="53">
        <v>3522</v>
      </c>
      <c r="J100" s="53"/>
      <c r="K100" s="53"/>
      <c r="L100" s="53"/>
      <c r="M100" s="59"/>
      <c r="N100" s="59"/>
      <c r="O100" s="59"/>
      <c r="P100" s="59"/>
      <c r="Q100" s="59"/>
    </row>
    <row r="101" spans="1:17" ht="12.75" customHeight="1" x14ac:dyDescent="0.2">
      <c r="A101" s="53">
        <v>8</v>
      </c>
      <c r="B101" s="53">
        <v>2020</v>
      </c>
      <c r="C101" s="53" t="str">
        <f t="shared" ref="C101:C132" si="6">IFERROR("Late Fee "&amp;FIND("Late Fee",E101),IFERROR("Internet "&amp;FIND("Internet",E101),IFERROR("Utilities "&amp;FIND("Utilities",E101),IFERROR("Rent: "&amp;FIND("Rent",E101),IFERROR("Priv Tax: "&amp;FIND("Tax",E101),IFERROR("Income: "&amp;FIND("Payment",E101,1),""))))))</f>
        <v>Priv Tax: 1</v>
      </c>
      <c r="D101" s="73" t="s">
        <v>581</v>
      </c>
      <c r="E101" s="53" t="s">
        <v>59</v>
      </c>
      <c r="F101" s="58">
        <v>0</v>
      </c>
      <c r="G101" s="58">
        <v>23.8703</v>
      </c>
      <c r="H101" s="58">
        <f t="shared" si="5"/>
        <v>1350</v>
      </c>
      <c r="I101" s="53">
        <v>3523</v>
      </c>
      <c r="J101" s="53"/>
      <c r="K101" s="53"/>
      <c r="L101" s="53"/>
      <c r="M101" s="59"/>
      <c r="N101" s="59"/>
      <c r="O101" s="59"/>
      <c r="P101" s="59"/>
      <c r="Q101" s="59"/>
    </row>
    <row r="102" spans="1:17" ht="12.75" customHeight="1" x14ac:dyDescent="0.25">
      <c r="A102" s="53">
        <v>9</v>
      </c>
      <c r="B102" s="53">
        <v>2020</v>
      </c>
      <c r="C102" s="53" t="str">
        <f t="shared" si="6"/>
        <v>Income: 1</v>
      </c>
      <c r="D102" s="73" t="s">
        <v>396</v>
      </c>
      <c r="E102" s="56" t="s">
        <v>49</v>
      </c>
      <c r="F102" s="58">
        <v>245</v>
      </c>
      <c r="G102" s="58">
        <v>0</v>
      </c>
      <c r="H102" s="58">
        <f t="shared" ref="H102:H133" si="7" xml:space="preserve"> H101 + G102 - F102</f>
        <v>1105</v>
      </c>
      <c r="I102" s="53">
        <v>3524</v>
      </c>
      <c r="J102" s="53"/>
      <c r="K102" s="53"/>
      <c r="L102" s="53"/>
      <c r="M102" s="59"/>
      <c r="N102" s="59"/>
      <c r="O102" s="59"/>
      <c r="P102" s="59"/>
      <c r="Q102" s="59"/>
    </row>
    <row r="103" spans="1:17" ht="12.75" customHeight="1" x14ac:dyDescent="0.2">
      <c r="A103" s="53">
        <v>9</v>
      </c>
      <c r="B103" s="53">
        <v>2020</v>
      </c>
      <c r="C103" s="53" t="str">
        <f t="shared" si="6"/>
        <v>Rent: 1</v>
      </c>
      <c r="D103" s="73" t="s">
        <v>582</v>
      </c>
      <c r="E103" s="53" t="s">
        <v>148</v>
      </c>
      <c r="F103" s="58">
        <v>0</v>
      </c>
      <c r="G103" s="58">
        <v>1326.1297</v>
      </c>
      <c r="H103" s="58">
        <f t="shared" si="7"/>
        <v>2431.1297</v>
      </c>
      <c r="I103" s="53">
        <v>3525</v>
      </c>
      <c r="J103" s="53"/>
      <c r="K103" s="53"/>
      <c r="L103" s="53"/>
      <c r="M103" s="59"/>
      <c r="N103" s="59"/>
      <c r="O103" s="59"/>
      <c r="P103" s="59"/>
      <c r="Q103" s="59"/>
    </row>
    <row r="104" spans="1:17" ht="12.75" customHeight="1" x14ac:dyDescent="0.2">
      <c r="A104" s="53">
        <v>9</v>
      </c>
      <c r="B104" s="53">
        <v>2020</v>
      </c>
      <c r="C104" s="53" t="str">
        <f t="shared" si="6"/>
        <v>Priv Tax: 1</v>
      </c>
      <c r="D104" s="73" t="s">
        <v>582</v>
      </c>
      <c r="E104" s="53" t="s">
        <v>59</v>
      </c>
      <c r="F104" s="58">
        <v>0</v>
      </c>
      <c r="G104" s="58">
        <v>23.8703</v>
      </c>
      <c r="H104" s="58">
        <f t="shared" si="7"/>
        <v>2455</v>
      </c>
      <c r="I104" s="53">
        <v>3526</v>
      </c>
      <c r="J104" s="53"/>
      <c r="K104" s="53"/>
      <c r="L104" s="53"/>
      <c r="M104" s="59"/>
      <c r="N104" s="59"/>
      <c r="O104" s="59"/>
      <c r="P104" s="59"/>
      <c r="Q104" s="59"/>
    </row>
    <row r="105" spans="1:17" ht="12.75" customHeight="1" x14ac:dyDescent="0.2">
      <c r="A105" s="53">
        <v>9</v>
      </c>
      <c r="B105" s="53">
        <v>2020</v>
      </c>
      <c r="C105" s="53" t="str">
        <f t="shared" si="6"/>
        <v>Late Fee 1</v>
      </c>
      <c r="D105" s="73" t="s">
        <v>583</v>
      </c>
      <c r="E105" s="53" t="s">
        <v>69</v>
      </c>
      <c r="F105" s="58">
        <v>0</v>
      </c>
      <c r="G105" s="58">
        <v>300</v>
      </c>
      <c r="H105" s="58">
        <f t="shared" si="7"/>
        <v>2755</v>
      </c>
      <c r="I105" s="53">
        <v>3527</v>
      </c>
      <c r="J105" s="53"/>
      <c r="K105" s="53"/>
      <c r="L105" s="53"/>
      <c r="M105" s="59"/>
      <c r="N105" s="59"/>
      <c r="O105" s="59"/>
      <c r="P105" s="59"/>
      <c r="Q105" s="59"/>
    </row>
    <row r="106" spans="1:17" ht="12.75" customHeight="1" x14ac:dyDescent="0.25">
      <c r="A106" s="53">
        <v>10</v>
      </c>
      <c r="B106" s="53">
        <v>2020</v>
      </c>
      <c r="C106" s="53" t="str">
        <f t="shared" si="6"/>
        <v>Income: 1</v>
      </c>
      <c r="D106" s="73" t="s">
        <v>584</v>
      </c>
      <c r="E106" s="56" t="s">
        <v>49</v>
      </c>
      <c r="F106" s="58">
        <v>3000</v>
      </c>
      <c r="G106" s="58">
        <v>0</v>
      </c>
      <c r="H106" s="58">
        <f t="shared" si="7"/>
        <v>-245</v>
      </c>
      <c r="I106" s="53">
        <v>3528</v>
      </c>
      <c r="J106" s="53"/>
      <c r="K106" s="53"/>
      <c r="L106" s="53"/>
      <c r="M106" s="59"/>
      <c r="N106" s="59"/>
      <c r="O106" s="59"/>
      <c r="P106" s="59"/>
      <c r="Q106" s="59"/>
    </row>
    <row r="107" spans="1:17" ht="12.75" customHeight="1" x14ac:dyDescent="0.2">
      <c r="A107" s="53">
        <v>10</v>
      </c>
      <c r="B107" s="53">
        <v>2020</v>
      </c>
      <c r="C107" s="53" t="str">
        <f t="shared" si="6"/>
        <v>Rent: 1</v>
      </c>
      <c r="D107" s="73" t="s">
        <v>585</v>
      </c>
      <c r="E107" s="53" t="s">
        <v>151</v>
      </c>
      <c r="F107" s="58">
        <v>0</v>
      </c>
      <c r="G107" s="58">
        <v>1326.1297</v>
      </c>
      <c r="H107" s="58">
        <f t="shared" si="7"/>
        <v>1081.1297</v>
      </c>
      <c r="I107" s="53">
        <v>3529</v>
      </c>
      <c r="J107" s="53"/>
      <c r="K107" s="53"/>
      <c r="L107" s="53"/>
      <c r="M107" s="59"/>
      <c r="N107" s="59"/>
      <c r="O107" s="59"/>
      <c r="P107" s="59"/>
      <c r="Q107" s="59"/>
    </row>
    <row r="108" spans="1:17" ht="12.75" customHeight="1" x14ac:dyDescent="0.2">
      <c r="A108" s="53">
        <v>10</v>
      </c>
      <c r="B108" s="53">
        <v>2020</v>
      </c>
      <c r="C108" s="53" t="str">
        <f t="shared" si="6"/>
        <v>Priv Tax: 1</v>
      </c>
      <c r="D108" s="73" t="s">
        <v>585</v>
      </c>
      <c r="E108" s="53" t="s">
        <v>59</v>
      </c>
      <c r="F108" s="58">
        <v>0</v>
      </c>
      <c r="G108" s="58">
        <v>23.8703</v>
      </c>
      <c r="H108" s="58">
        <f t="shared" si="7"/>
        <v>1105</v>
      </c>
      <c r="I108" s="53">
        <v>3530</v>
      </c>
      <c r="J108" s="53"/>
      <c r="K108" s="53"/>
      <c r="L108" s="53"/>
      <c r="M108" s="59"/>
      <c r="N108" s="59"/>
      <c r="O108" s="59"/>
      <c r="P108" s="59"/>
      <c r="Q108" s="59"/>
    </row>
    <row r="109" spans="1:17" ht="12.75" customHeight="1" x14ac:dyDescent="0.25">
      <c r="A109" s="53">
        <v>11</v>
      </c>
      <c r="B109" s="53">
        <v>2020</v>
      </c>
      <c r="C109" s="53" t="str">
        <f t="shared" si="6"/>
        <v>Income: 1</v>
      </c>
      <c r="D109" s="73" t="s">
        <v>155</v>
      </c>
      <c r="E109" s="56" t="s">
        <v>49</v>
      </c>
      <c r="F109" s="58">
        <v>1350</v>
      </c>
      <c r="G109" s="58">
        <v>0</v>
      </c>
      <c r="H109" s="58">
        <f t="shared" si="7"/>
        <v>-245</v>
      </c>
      <c r="I109" s="53">
        <v>3531</v>
      </c>
      <c r="J109" s="53"/>
      <c r="K109" s="53"/>
      <c r="L109" s="53"/>
      <c r="M109" s="59"/>
      <c r="N109" s="59"/>
      <c r="O109" s="59"/>
      <c r="P109" s="59"/>
      <c r="Q109" s="59"/>
    </row>
    <row r="110" spans="1:17" ht="12.75" customHeight="1" x14ac:dyDescent="0.2">
      <c r="A110" s="53">
        <v>11</v>
      </c>
      <c r="B110" s="53">
        <v>2020</v>
      </c>
      <c r="C110" s="53" t="str">
        <f t="shared" si="6"/>
        <v>Late Fee 1</v>
      </c>
      <c r="D110" s="73" t="s">
        <v>586</v>
      </c>
      <c r="E110" s="53" t="s">
        <v>70</v>
      </c>
      <c r="F110" s="58">
        <v>0</v>
      </c>
      <c r="G110" s="58">
        <v>0</v>
      </c>
      <c r="H110" s="58">
        <f t="shared" si="7"/>
        <v>-245</v>
      </c>
      <c r="I110" s="53">
        <v>3532</v>
      </c>
      <c r="J110" s="53"/>
      <c r="K110" s="53"/>
      <c r="L110" s="53"/>
      <c r="M110" s="59"/>
      <c r="N110" s="59"/>
      <c r="O110" s="59"/>
      <c r="P110" s="59"/>
      <c r="Q110" s="59"/>
    </row>
    <row r="111" spans="1:17" ht="12.75" customHeight="1" x14ac:dyDescent="0.2">
      <c r="A111" s="53">
        <v>11</v>
      </c>
      <c r="B111" s="53">
        <v>2020</v>
      </c>
      <c r="C111" s="53" t="str">
        <f t="shared" si="6"/>
        <v>Rent: 1</v>
      </c>
      <c r="D111" s="73" t="s">
        <v>587</v>
      </c>
      <c r="E111" s="53" t="s">
        <v>154</v>
      </c>
      <c r="F111" s="58">
        <v>0</v>
      </c>
      <c r="G111" s="58">
        <v>1326.1297</v>
      </c>
      <c r="H111" s="58">
        <f t="shared" si="7"/>
        <v>1081.1297</v>
      </c>
      <c r="I111" s="53">
        <v>3533</v>
      </c>
      <c r="J111" s="53"/>
      <c r="K111" s="53"/>
      <c r="L111" s="53"/>
      <c r="M111" s="59"/>
      <c r="N111" s="59"/>
      <c r="O111" s="59"/>
      <c r="P111" s="59"/>
      <c r="Q111" s="59"/>
    </row>
    <row r="112" spans="1:17" ht="12.75" customHeight="1" x14ac:dyDescent="0.2">
      <c r="A112" s="53">
        <v>11</v>
      </c>
      <c r="B112" s="53">
        <v>2020</v>
      </c>
      <c r="C112" s="53" t="str">
        <f t="shared" si="6"/>
        <v>Priv Tax: 1</v>
      </c>
      <c r="D112" s="73" t="s">
        <v>587</v>
      </c>
      <c r="E112" s="53" t="s">
        <v>59</v>
      </c>
      <c r="F112" s="58">
        <v>0</v>
      </c>
      <c r="G112" s="58">
        <v>23.8703</v>
      </c>
      <c r="H112" s="58">
        <f t="shared" si="7"/>
        <v>1105</v>
      </c>
      <c r="I112" s="53">
        <v>3534</v>
      </c>
      <c r="J112" s="53"/>
      <c r="K112" s="53"/>
      <c r="L112" s="53"/>
      <c r="M112" s="59"/>
      <c r="N112" s="59"/>
      <c r="O112" s="59"/>
      <c r="P112" s="59"/>
      <c r="Q112" s="59"/>
    </row>
    <row r="113" spans="1:17" ht="12.75" customHeight="1" x14ac:dyDescent="0.2">
      <c r="A113" s="53">
        <v>11</v>
      </c>
      <c r="B113" s="53">
        <v>2020</v>
      </c>
      <c r="C113" s="53" t="str">
        <f t="shared" si="6"/>
        <v>Late Fee 1</v>
      </c>
      <c r="D113" s="73" t="s">
        <v>399</v>
      </c>
      <c r="E113" s="53" t="s">
        <v>50</v>
      </c>
      <c r="F113" s="58">
        <v>0</v>
      </c>
      <c r="G113" s="58">
        <v>0</v>
      </c>
      <c r="H113" s="58">
        <f t="shared" si="7"/>
        <v>1105</v>
      </c>
      <c r="I113" s="53">
        <v>3535</v>
      </c>
      <c r="J113" s="53"/>
      <c r="K113" s="53"/>
      <c r="L113" s="53"/>
      <c r="M113" s="59"/>
      <c r="N113" s="59"/>
      <c r="O113" s="59"/>
      <c r="P113" s="59"/>
      <c r="Q113" s="59"/>
    </row>
    <row r="114" spans="1:17" ht="12.75" customHeight="1" x14ac:dyDescent="0.2">
      <c r="A114" s="53">
        <v>12</v>
      </c>
      <c r="B114" s="53">
        <v>2020</v>
      </c>
      <c r="C114" s="53" t="str">
        <f t="shared" si="6"/>
        <v/>
      </c>
      <c r="D114" s="73" t="s">
        <v>158</v>
      </c>
      <c r="E114" s="53"/>
      <c r="F114" s="58">
        <v>0</v>
      </c>
      <c r="G114" s="58">
        <v>0</v>
      </c>
      <c r="H114" s="58">
        <f t="shared" si="7"/>
        <v>1105</v>
      </c>
      <c r="I114" s="53">
        <v>3536</v>
      </c>
      <c r="J114" s="53"/>
      <c r="K114" s="53"/>
      <c r="L114" s="53"/>
      <c r="M114" s="59"/>
      <c r="N114" s="59"/>
      <c r="O114" s="59"/>
      <c r="P114" s="59"/>
      <c r="Q114" s="59"/>
    </row>
    <row r="115" spans="1:17" ht="12.75" customHeight="1" x14ac:dyDescent="0.2">
      <c r="A115" s="53">
        <v>3</v>
      </c>
      <c r="B115" s="53">
        <v>2020</v>
      </c>
      <c r="C115" s="53" t="str">
        <f t="shared" si="6"/>
        <v>Late Fee 1</v>
      </c>
      <c r="D115" s="73" t="s">
        <v>588</v>
      </c>
      <c r="E115" s="53" t="s">
        <v>50</v>
      </c>
      <c r="F115" s="58">
        <v>0</v>
      </c>
      <c r="G115" s="58">
        <v>85</v>
      </c>
      <c r="H115" s="58">
        <f t="shared" si="7"/>
        <v>1190</v>
      </c>
      <c r="I115" s="53">
        <v>3537</v>
      </c>
      <c r="J115" s="53"/>
      <c r="K115" s="53"/>
      <c r="L115" s="53"/>
      <c r="M115" s="59"/>
      <c r="N115" s="59"/>
      <c r="O115" s="59"/>
      <c r="P115" s="59"/>
      <c r="Q115" s="59"/>
    </row>
    <row r="116" spans="1:17" ht="12.75" customHeight="1" x14ac:dyDescent="0.2">
      <c r="A116" s="53">
        <v>12</v>
      </c>
      <c r="B116" s="53">
        <v>2020</v>
      </c>
      <c r="C116" s="53" t="str">
        <f t="shared" si="6"/>
        <v/>
      </c>
      <c r="D116" s="73" t="s">
        <v>589</v>
      </c>
      <c r="E116" s="53" t="s">
        <v>71</v>
      </c>
      <c r="F116" s="58">
        <v>2000</v>
      </c>
      <c r="G116" s="58">
        <v>0</v>
      </c>
      <c r="H116" s="58">
        <f t="shared" si="7"/>
        <v>-810</v>
      </c>
      <c r="I116" s="53">
        <v>3538</v>
      </c>
      <c r="J116" s="53"/>
      <c r="K116" s="53"/>
      <c r="L116" s="53"/>
      <c r="M116" s="59"/>
      <c r="N116" s="59"/>
      <c r="O116" s="59"/>
      <c r="P116" s="59"/>
      <c r="Q116" s="59"/>
    </row>
    <row r="117" spans="1:17" ht="12.75" customHeight="1" x14ac:dyDescent="0.2">
      <c r="A117" s="53">
        <v>12</v>
      </c>
      <c r="B117" s="53">
        <v>2020</v>
      </c>
      <c r="C117" s="53" t="str">
        <f t="shared" si="6"/>
        <v/>
      </c>
      <c r="D117" s="73" t="s">
        <v>589</v>
      </c>
      <c r="E117" s="53" t="s">
        <v>71</v>
      </c>
      <c r="F117" s="58">
        <v>1880</v>
      </c>
      <c r="G117" s="58">
        <v>0</v>
      </c>
      <c r="H117" s="58">
        <f t="shared" si="7"/>
        <v>-2690</v>
      </c>
      <c r="I117" s="53">
        <v>3539</v>
      </c>
      <c r="J117" s="53"/>
      <c r="K117" s="53"/>
      <c r="L117" s="53"/>
      <c r="M117" s="59"/>
      <c r="N117" s="59"/>
      <c r="O117" s="59"/>
      <c r="P117" s="59"/>
      <c r="Q117" s="59"/>
    </row>
    <row r="118" spans="1:17" ht="12.75" customHeight="1" x14ac:dyDescent="0.2">
      <c r="A118" s="53">
        <v>12</v>
      </c>
      <c r="B118" s="53">
        <v>2021</v>
      </c>
      <c r="C118" s="53" t="str">
        <f t="shared" si="6"/>
        <v>Rent: 1</v>
      </c>
      <c r="D118" s="73" t="s">
        <v>428</v>
      </c>
      <c r="E118" s="53" t="s">
        <v>193</v>
      </c>
      <c r="F118" s="58">
        <v>0</v>
      </c>
      <c r="G118" s="58">
        <v>1326.1297</v>
      </c>
      <c r="H118" s="58">
        <f t="shared" si="7"/>
        <v>-1363.8703</v>
      </c>
      <c r="I118" s="53">
        <v>3540</v>
      </c>
      <c r="J118" s="53"/>
      <c r="K118" s="53"/>
      <c r="L118" s="53"/>
      <c r="M118" s="53"/>
      <c r="N118" s="53"/>
      <c r="O118" s="59"/>
      <c r="P118" s="59"/>
      <c r="Q118" s="59"/>
    </row>
    <row r="119" spans="1:17" ht="12.75" customHeight="1" x14ac:dyDescent="0.2">
      <c r="A119" s="53">
        <v>12</v>
      </c>
      <c r="B119" s="53">
        <v>2021</v>
      </c>
      <c r="C119" s="53" t="str">
        <f t="shared" si="6"/>
        <v>Priv Tax: 1</v>
      </c>
      <c r="D119" s="73" t="s">
        <v>428</v>
      </c>
      <c r="E119" s="53" t="s">
        <v>59</v>
      </c>
      <c r="F119" s="58">
        <v>0</v>
      </c>
      <c r="G119" s="58">
        <v>23.8703</v>
      </c>
      <c r="H119" s="58">
        <f t="shared" si="7"/>
        <v>-1340</v>
      </c>
      <c r="I119" s="53">
        <v>3541</v>
      </c>
      <c r="J119" s="53"/>
      <c r="K119" s="53"/>
      <c r="L119" s="53"/>
      <c r="M119" s="58"/>
      <c r="N119" s="58"/>
      <c r="O119" s="59"/>
      <c r="P119" s="59"/>
      <c r="Q119" s="59"/>
    </row>
    <row r="120" spans="1:17" ht="12.75" customHeight="1" x14ac:dyDescent="0.2">
      <c r="A120" s="53">
        <v>1</v>
      </c>
      <c r="B120" s="53">
        <v>2021</v>
      </c>
      <c r="C120" s="53" t="str">
        <f t="shared" si="6"/>
        <v>Rent: 1</v>
      </c>
      <c r="D120" s="73" t="s">
        <v>590</v>
      </c>
      <c r="E120" s="53" t="s">
        <v>402</v>
      </c>
      <c r="F120" s="58">
        <v>0</v>
      </c>
      <c r="G120" s="58">
        <v>1326.1297</v>
      </c>
      <c r="H120" s="58">
        <f t="shared" si="7"/>
        <v>-13.870300000000043</v>
      </c>
      <c r="I120" s="53">
        <v>3542</v>
      </c>
      <c r="J120" s="53"/>
      <c r="K120" s="53"/>
      <c r="L120" s="53"/>
      <c r="M120" s="59"/>
      <c r="N120" s="59"/>
      <c r="O120" s="59"/>
      <c r="P120" s="59"/>
      <c r="Q120" s="59"/>
    </row>
    <row r="121" spans="1:17" ht="12.75" customHeight="1" x14ac:dyDescent="0.2">
      <c r="A121" s="53">
        <v>1</v>
      </c>
      <c r="B121" s="53">
        <v>2021</v>
      </c>
      <c r="C121" s="53" t="str">
        <f t="shared" si="6"/>
        <v>Priv Tax: 1</v>
      </c>
      <c r="D121" s="73" t="s">
        <v>590</v>
      </c>
      <c r="E121" s="53" t="s">
        <v>59</v>
      </c>
      <c r="F121" s="58">
        <v>0</v>
      </c>
      <c r="G121" s="58">
        <v>23.8703</v>
      </c>
      <c r="H121" s="58">
        <f t="shared" si="7"/>
        <v>9.9999999999999574</v>
      </c>
      <c r="I121" s="53">
        <v>3543</v>
      </c>
      <c r="J121" s="53"/>
      <c r="K121" s="53"/>
      <c r="L121" s="53"/>
      <c r="M121" s="59"/>
      <c r="N121" s="59"/>
      <c r="O121" s="59"/>
      <c r="P121" s="59"/>
      <c r="Q121" s="59"/>
    </row>
    <row r="122" spans="1:17" ht="12.75" customHeight="1" x14ac:dyDescent="0.25">
      <c r="A122" s="53">
        <v>2</v>
      </c>
      <c r="B122" s="53">
        <v>2021</v>
      </c>
      <c r="C122" s="53" t="str">
        <f t="shared" si="6"/>
        <v>Income: 1</v>
      </c>
      <c r="D122" s="73" t="s">
        <v>405</v>
      </c>
      <c r="E122" s="56" t="s">
        <v>49</v>
      </c>
      <c r="F122" s="58">
        <v>1350</v>
      </c>
      <c r="G122" s="58">
        <v>0</v>
      </c>
      <c r="H122" s="58">
        <f t="shared" si="7"/>
        <v>-1340</v>
      </c>
      <c r="I122" s="53">
        <v>3544</v>
      </c>
      <c r="J122" s="53"/>
      <c r="K122" s="53"/>
      <c r="L122" s="53"/>
      <c r="M122" s="59"/>
      <c r="N122" s="59"/>
      <c r="O122" s="59"/>
      <c r="P122" s="59"/>
      <c r="Q122" s="59"/>
    </row>
    <row r="123" spans="1:17" ht="12.75" customHeight="1" x14ac:dyDescent="0.2">
      <c r="A123" s="53">
        <v>2</v>
      </c>
      <c r="B123" s="53">
        <v>2021</v>
      </c>
      <c r="C123" s="53" t="str">
        <f t="shared" si="6"/>
        <v>Rent: 1</v>
      </c>
      <c r="D123" s="73" t="s">
        <v>511</v>
      </c>
      <c r="E123" s="53" t="s">
        <v>163</v>
      </c>
      <c r="F123" s="58">
        <v>0</v>
      </c>
      <c r="G123" s="58">
        <v>1326.1297</v>
      </c>
      <c r="H123" s="58">
        <f t="shared" si="7"/>
        <v>-13.870300000000043</v>
      </c>
      <c r="I123" s="53">
        <v>3545</v>
      </c>
      <c r="J123" s="53"/>
      <c r="K123" s="53"/>
      <c r="L123" s="53"/>
      <c r="M123" s="59"/>
      <c r="N123" s="59"/>
      <c r="O123" s="59"/>
      <c r="P123" s="59"/>
      <c r="Q123" s="59"/>
    </row>
    <row r="124" spans="1:17" ht="12.75" customHeight="1" x14ac:dyDescent="0.2">
      <c r="A124" s="53">
        <v>2</v>
      </c>
      <c r="B124" s="53">
        <v>2021</v>
      </c>
      <c r="C124" s="53" t="str">
        <f t="shared" si="6"/>
        <v>Priv Tax: 1</v>
      </c>
      <c r="D124" s="73" t="s">
        <v>511</v>
      </c>
      <c r="E124" s="53" t="s">
        <v>59</v>
      </c>
      <c r="F124" s="58">
        <v>0</v>
      </c>
      <c r="G124" s="58">
        <v>23.8703</v>
      </c>
      <c r="H124" s="58">
        <f t="shared" si="7"/>
        <v>9.9999999999999574</v>
      </c>
      <c r="I124" s="53">
        <v>3546</v>
      </c>
      <c r="J124" s="53"/>
      <c r="K124" s="53"/>
      <c r="L124" s="53"/>
      <c r="M124" s="59"/>
      <c r="N124" s="59"/>
      <c r="O124" s="59"/>
      <c r="P124" s="59"/>
      <c r="Q124" s="59"/>
    </row>
    <row r="125" spans="1:17" ht="12.75" customHeight="1" x14ac:dyDescent="0.25">
      <c r="A125" s="53">
        <v>3</v>
      </c>
      <c r="B125" s="53">
        <v>2021</v>
      </c>
      <c r="C125" s="53" t="str">
        <f t="shared" si="6"/>
        <v>Income: 1</v>
      </c>
      <c r="D125" s="73" t="s">
        <v>591</v>
      </c>
      <c r="E125" s="56" t="s">
        <v>49</v>
      </c>
      <c r="F125" s="58">
        <v>1350</v>
      </c>
      <c r="G125" s="58">
        <v>0</v>
      </c>
      <c r="H125" s="58">
        <f t="shared" si="7"/>
        <v>-1340</v>
      </c>
      <c r="I125" s="53">
        <v>3547</v>
      </c>
      <c r="J125" s="53"/>
      <c r="K125" s="53"/>
      <c r="L125" s="53"/>
      <c r="M125" s="59"/>
      <c r="N125" s="59"/>
      <c r="O125" s="59"/>
      <c r="P125" s="59"/>
      <c r="Q125" s="59"/>
    </row>
    <row r="126" spans="1:17" ht="12.75" customHeight="1" x14ac:dyDescent="0.2">
      <c r="A126" s="53">
        <v>3</v>
      </c>
      <c r="B126" s="53">
        <v>2021</v>
      </c>
      <c r="C126" s="53" t="str">
        <f t="shared" si="6"/>
        <v>Rent: 1</v>
      </c>
      <c r="D126" s="73" t="s">
        <v>592</v>
      </c>
      <c r="E126" s="53" t="s">
        <v>166</v>
      </c>
      <c r="F126" s="58">
        <v>0</v>
      </c>
      <c r="G126" s="58">
        <v>1326.1297</v>
      </c>
      <c r="H126" s="58">
        <f t="shared" si="7"/>
        <v>-13.870300000000043</v>
      </c>
      <c r="I126" s="53">
        <v>3548</v>
      </c>
      <c r="J126" s="53"/>
      <c r="K126" s="53"/>
      <c r="L126" s="53"/>
      <c r="M126" s="59"/>
      <c r="N126" s="59"/>
      <c r="O126" s="59"/>
      <c r="P126" s="59"/>
      <c r="Q126" s="59"/>
    </row>
    <row r="127" spans="1:17" ht="12.75" customHeight="1" x14ac:dyDescent="0.2">
      <c r="A127" s="53">
        <v>3</v>
      </c>
      <c r="B127" s="53">
        <v>2021</v>
      </c>
      <c r="C127" s="53" t="str">
        <f t="shared" si="6"/>
        <v>Priv Tax: 1</v>
      </c>
      <c r="D127" s="73" t="s">
        <v>592</v>
      </c>
      <c r="E127" s="53" t="s">
        <v>59</v>
      </c>
      <c r="F127" s="58">
        <v>0</v>
      </c>
      <c r="G127" s="58">
        <v>23.8703</v>
      </c>
      <c r="H127" s="58">
        <f t="shared" si="7"/>
        <v>9.9999999999999574</v>
      </c>
      <c r="I127" s="53">
        <v>3549</v>
      </c>
      <c r="J127" s="53"/>
      <c r="K127" s="53"/>
      <c r="L127" s="53"/>
      <c r="M127" s="53"/>
      <c r="N127" s="53"/>
      <c r="O127" s="59"/>
      <c r="P127" s="59"/>
      <c r="Q127" s="59"/>
    </row>
    <row r="128" spans="1:17" ht="12.75" customHeight="1" x14ac:dyDescent="0.25">
      <c r="A128" s="53">
        <v>3</v>
      </c>
      <c r="B128" s="53">
        <v>2021</v>
      </c>
      <c r="C128" s="53" t="str">
        <f t="shared" si="6"/>
        <v>Income: 1</v>
      </c>
      <c r="D128" s="73" t="s">
        <v>408</v>
      </c>
      <c r="E128" s="56" t="s">
        <v>49</v>
      </c>
      <c r="F128" s="58">
        <v>1350</v>
      </c>
      <c r="G128" s="58">
        <v>0</v>
      </c>
      <c r="H128" s="58">
        <f t="shared" si="7"/>
        <v>-1340</v>
      </c>
      <c r="I128" s="53">
        <v>3550</v>
      </c>
      <c r="J128" s="53"/>
      <c r="K128" s="53"/>
      <c r="L128" s="53"/>
      <c r="M128" s="58"/>
      <c r="N128" s="58"/>
      <c r="O128" s="59"/>
      <c r="P128" s="59"/>
      <c r="Q128" s="59"/>
    </row>
    <row r="129" spans="1:17" ht="12.75" customHeight="1" x14ac:dyDescent="0.2">
      <c r="A129" s="53">
        <v>4</v>
      </c>
      <c r="B129" s="53">
        <v>2021</v>
      </c>
      <c r="C129" s="53" t="str">
        <f t="shared" si="6"/>
        <v>Rent: 1</v>
      </c>
      <c r="D129" s="73" t="s">
        <v>593</v>
      </c>
      <c r="E129" s="53" t="s">
        <v>169</v>
      </c>
      <c r="F129" s="58">
        <v>0</v>
      </c>
      <c r="G129" s="58">
        <v>1350</v>
      </c>
      <c r="H129" s="58">
        <f t="shared" si="7"/>
        <v>10</v>
      </c>
      <c r="I129" s="53">
        <v>3551</v>
      </c>
      <c r="J129" s="53"/>
      <c r="K129" s="53"/>
      <c r="L129" s="53"/>
      <c r="M129" s="59"/>
      <c r="N129" s="59"/>
      <c r="O129" s="59"/>
      <c r="P129" s="59"/>
      <c r="Q129" s="59"/>
    </row>
    <row r="130" spans="1:17" ht="12.75" customHeight="1" x14ac:dyDescent="0.2">
      <c r="A130" s="53">
        <v>4</v>
      </c>
      <c r="B130" s="53">
        <v>2021</v>
      </c>
      <c r="C130" s="53" t="str">
        <f t="shared" si="6"/>
        <v>Priv Tax: 1</v>
      </c>
      <c r="D130" s="73" t="s">
        <v>593</v>
      </c>
      <c r="E130" s="53" t="s">
        <v>59</v>
      </c>
      <c r="F130" s="58">
        <v>0</v>
      </c>
      <c r="G130" s="58">
        <v>0</v>
      </c>
      <c r="H130" s="58">
        <f t="shared" si="7"/>
        <v>10</v>
      </c>
      <c r="I130" s="53">
        <v>3552</v>
      </c>
      <c r="J130" s="53"/>
      <c r="K130" s="53"/>
      <c r="L130" s="53"/>
      <c r="M130" s="59"/>
      <c r="N130" s="59"/>
      <c r="O130" s="59"/>
      <c r="P130" s="59"/>
      <c r="Q130" s="59"/>
    </row>
    <row r="131" spans="1:17" ht="12.75" customHeight="1" x14ac:dyDescent="0.2">
      <c r="A131" s="53">
        <v>5</v>
      </c>
      <c r="B131" s="53">
        <v>2021</v>
      </c>
      <c r="C131" s="53" t="str">
        <f t="shared" si="6"/>
        <v>Income: 1</v>
      </c>
      <c r="D131" s="73" t="s">
        <v>411</v>
      </c>
      <c r="E131" s="53" t="s">
        <v>49</v>
      </c>
      <c r="F131" s="58">
        <v>1350</v>
      </c>
      <c r="G131" s="58">
        <v>0</v>
      </c>
      <c r="H131" s="58">
        <f t="shared" si="7"/>
        <v>-1340</v>
      </c>
      <c r="I131" s="53">
        <v>3553</v>
      </c>
      <c r="J131" s="53"/>
      <c r="K131" s="53"/>
      <c r="L131" s="53"/>
      <c r="M131" s="58"/>
      <c r="N131" s="58"/>
      <c r="O131" s="59"/>
      <c r="P131" s="59"/>
      <c r="Q131" s="59"/>
    </row>
    <row r="132" spans="1:17" ht="12.75" customHeight="1" x14ac:dyDescent="0.2">
      <c r="A132" s="53">
        <v>5</v>
      </c>
      <c r="B132" s="53">
        <v>2021</v>
      </c>
      <c r="C132" s="53" t="str">
        <f t="shared" si="6"/>
        <v>Rent: 1</v>
      </c>
      <c r="D132" s="73" t="s">
        <v>594</v>
      </c>
      <c r="E132" s="53" t="s">
        <v>172</v>
      </c>
      <c r="F132" s="58">
        <v>0</v>
      </c>
      <c r="G132" s="58">
        <v>1350</v>
      </c>
      <c r="H132" s="58">
        <f t="shared" si="7"/>
        <v>10</v>
      </c>
      <c r="I132" s="53">
        <v>3554</v>
      </c>
      <c r="J132" s="53"/>
      <c r="K132" s="53"/>
      <c r="L132" s="53"/>
      <c r="M132" s="59"/>
      <c r="N132" s="59"/>
      <c r="O132" s="59"/>
      <c r="P132" s="59"/>
      <c r="Q132" s="59"/>
    </row>
    <row r="133" spans="1:17" ht="12.75" customHeight="1" x14ac:dyDescent="0.2">
      <c r="A133" s="53">
        <v>5</v>
      </c>
      <c r="B133" s="53">
        <v>2021</v>
      </c>
      <c r="C133" s="53" t="str">
        <f t="shared" ref="C133:C164" si="8">IFERROR("Late Fee "&amp;FIND("Late Fee",E133),IFERROR("Internet "&amp;FIND("Internet",E133),IFERROR("Utilities "&amp;FIND("Utilities",E133),IFERROR("Rent: "&amp;FIND("Rent",E133),IFERROR("Priv Tax: "&amp;FIND("Tax",E133),IFERROR("Income: "&amp;FIND("Payment",E133,1),""))))))</f>
        <v>Priv Tax: 1</v>
      </c>
      <c r="D133" s="73" t="s">
        <v>594</v>
      </c>
      <c r="E133" s="53" t="s">
        <v>59</v>
      </c>
      <c r="F133" s="58">
        <v>0</v>
      </c>
      <c r="G133" s="58">
        <v>0</v>
      </c>
      <c r="H133" s="58">
        <f t="shared" si="7"/>
        <v>10</v>
      </c>
      <c r="I133" s="53">
        <v>3555</v>
      </c>
      <c r="J133" s="53"/>
      <c r="K133" s="53"/>
      <c r="L133" s="53"/>
      <c r="M133" s="59"/>
      <c r="N133" s="59"/>
      <c r="O133" s="59"/>
      <c r="P133" s="59"/>
      <c r="Q133" s="59"/>
    </row>
    <row r="134" spans="1:17" ht="12.75" customHeight="1" x14ac:dyDescent="0.2">
      <c r="A134" s="53">
        <v>6</v>
      </c>
      <c r="B134" s="53">
        <v>2021</v>
      </c>
      <c r="C134" s="53" t="str">
        <f t="shared" si="8"/>
        <v>Income: 1</v>
      </c>
      <c r="D134" s="73" t="s">
        <v>412</v>
      </c>
      <c r="E134" s="53" t="s">
        <v>49</v>
      </c>
      <c r="F134" s="58">
        <v>1350</v>
      </c>
      <c r="G134" s="58">
        <v>0</v>
      </c>
      <c r="H134" s="58">
        <f t="shared" ref="H134:H165" si="9" xml:space="preserve"> H133 + G134 - F134</f>
        <v>-1340</v>
      </c>
      <c r="I134" s="53">
        <v>3556</v>
      </c>
      <c r="J134" s="53"/>
      <c r="K134" s="53"/>
      <c r="L134" s="53"/>
      <c r="M134" s="58"/>
      <c r="N134" s="58"/>
      <c r="O134" s="59"/>
      <c r="P134" s="59"/>
      <c r="Q134" s="59"/>
    </row>
    <row r="135" spans="1:17" ht="12.75" customHeight="1" x14ac:dyDescent="0.2">
      <c r="A135" s="53">
        <v>6</v>
      </c>
      <c r="B135" s="53">
        <v>2021</v>
      </c>
      <c r="C135" s="53" t="str">
        <f t="shared" si="8"/>
        <v>Rent: 1</v>
      </c>
      <c r="D135" s="73" t="s">
        <v>595</v>
      </c>
      <c r="E135" s="53" t="s">
        <v>175</v>
      </c>
      <c r="F135" s="58">
        <v>0</v>
      </c>
      <c r="G135" s="58">
        <v>1350</v>
      </c>
      <c r="H135" s="58">
        <f t="shared" si="9"/>
        <v>10</v>
      </c>
      <c r="I135" s="53">
        <v>3557</v>
      </c>
      <c r="J135" s="53"/>
      <c r="K135" s="53"/>
      <c r="L135" s="53"/>
      <c r="M135" s="59"/>
      <c r="N135" s="59"/>
      <c r="O135" s="59"/>
      <c r="P135" s="59"/>
      <c r="Q135" s="59"/>
    </row>
    <row r="136" spans="1:17" ht="12.75" customHeight="1" x14ac:dyDescent="0.2">
      <c r="A136" s="53">
        <v>6</v>
      </c>
      <c r="B136" s="53">
        <v>2021</v>
      </c>
      <c r="C136" s="53" t="str">
        <f t="shared" si="8"/>
        <v>Priv Tax: 1</v>
      </c>
      <c r="D136" s="73" t="s">
        <v>595</v>
      </c>
      <c r="E136" s="53" t="s">
        <v>59</v>
      </c>
      <c r="F136" s="58">
        <v>0</v>
      </c>
      <c r="G136" s="58">
        <v>0</v>
      </c>
      <c r="H136" s="58">
        <f t="shared" si="9"/>
        <v>10</v>
      </c>
      <c r="I136" s="53">
        <v>3558</v>
      </c>
      <c r="J136" s="53"/>
      <c r="K136" s="53"/>
      <c r="L136" s="53"/>
      <c r="M136" s="53"/>
      <c r="N136" s="53"/>
      <c r="O136" s="59"/>
      <c r="P136" s="59"/>
      <c r="Q136" s="59"/>
    </row>
    <row r="137" spans="1:17" ht="12.75" customHeight="1" x14ac:dyDescent="0.2">
      <c r="A137" s="53">
        <v>7</v>
      </c>
      <c r="B137" s="53">
        <v>2021</v>
      </c>
      <c r="C137" s="53" t="str">
        <f t="shared" si="8"/>
        <v>Income: 1</v>
      </c>
      <c r="D137" s="73" t="s">
        <v>413</v>
      </c>
      <c r="E137" s="53" t="s">
        <v>49</v>
      </c>
      <c r="F137" s="58">
        <v>1350</v>
      </c>
      <c r="G137" s="58">
        <v>0</v>
      </c>
      <c r="H137" s="58">
        <f t="shared" si="9"/>
        <v>-1340</v>
      </c>
      <c r="I137" s="53">
        <v>3559</v>
      </c>
      <c r="J137" s="53"/>
      <c r="K137" s="53"/>
      <c r="L137" s="53"/>
      <c r="M137" s="58"/>
      <c r="N137" s="58"/>
      <c r="O137" s="59"/>
      <c r="P137" s="59"/>
      <c r="Q137" s="59"/>
    </row>
    <row r="138" spans="1:17" ht="12.75" customHeight="1" x14ac:dyDescent="0.2">
      <c r="A138" s="53">
        <v>7</v>
      </c>
      <c r="B138" s="53">
        <v>2021</v>
      </c>
      <c r="C138" s="53" t="str">
        <f t="shared" si="8"/>
        <v>Rent: 1</v>
      </c>
      <c r="D138" s="73" t="s">
        <v>596</v>
      </c>
      <c r="E138" s="53" t="s">
        <v>178</v>
      </c>
      <c r="F138" s="58">
        <v>0</v>
      </c>
      <c r="G138" s="58">
        <v>1350</v>
      </c>
      <c r="H138" s="58">
        <f t="shared" si="9"/>
        <v>10</v>
      </c>
      <c r="I138" s="53">
        <v>3560</v>
      </c>
      <c r="J138" s="53"/>
      <c r="K138" s="53"/>
      <c r="L138" s="53"/>
      <c r="M138" s="59"/>
      <c r="N138" s="59"/>
      <c r="O138" s="59"/>
      <c r="P138" s="59"/>
      <c r="Q138" s="59"/>
    </row>
    <row r="139" spans="1:17" ht="12.75" customHeight="1" x14ac:dyDescent="0.2">
      <c r="A139" s="53">
        <v>7</v>
      </c>
      <c r="B139" s="53">
        <v>2021</v>
      </c>
      <c r="C139" s="53" t="str">
        <f t="shared" si="8"/>
        <v>Priv Tax: 1</v>
      </c>
      <c r="D139" s="73" t="s">
        <v>596</v>
      </c>
      <c r="E139" s="53" t="s">
        <v>59</v>
      </c>
      <c r="F139" s="58">
        <v>0</v>
      </c>
      <c r="G139" s="58">
        <v>0</v>
      </c>
      <c r="H139" s="58">
        <f t="shared" si="9"/>
        <v>10</v>
      </c>
      <c r="I139" s="53">
        <v>3561</v>
      </c>
      <c r="J139" s="53"/>
      <c r="K139" s="53"/>
      <c r="L139" s="53"/>
      <c r="M139" s="59"/>
      <c r="N139" s="59"/>
      <c r="O139" s="59"/>
      <c r="P139" s="59"/>
      <c r="Q139" s="59"/>
    </row>
    <row r="140" spans="1:17" ht="12.75" customHeight="1" x14ac:dyDescent="0.2">
      <c r="A140" s="53">
        <v>1</v>
      </c>
      <c r="B140" s="53">
        <v>2021</v>
      </c>
      <c r="C140" s="53" t="str">
        <f t="shared" si="8"/>
        <v>Income: 1</v>
      </c>
      <c r="D140" s="73"/>
      <c r="E140" s="53" t="s">
        <v>49</v>
      </c>
      <c r="F140" s="58">
        <v>255</v>
      </c>
      <c r="G140" s="58">
        <v>0</v>
      </c>
      <c r="H140" s="58">
        <f t="shared" si="9"/>
        <v>-245</v>
      </c>
      <c r="I140" s="53">
        <v>3562</v>
      </c>
      <c r="J140" s="53"/>
      <c r="K140" s="53"/>
      <c r="L140" s="53"/>
      <c r="M140" s="59"/>
      <c r="N140" s="59"/>
      <c r="O140" s="59"/>
      <c r="P140" s="59"/>
      <c r="Q140" s="59"/>
    </row>
    <row r="141" spans="1:17" ht="12.75" customHeight="1" x14ac:dyDescent="0.2">
      <c r="A141" s="53">
        <v>8</v>
      </c>
      <c r="B141" s="53">
        <v>2021</v>
      </c>
      <c r="C141" s="53" t="str">
        <f t="shared" si="8"/>
        <v>Rent: 1</v>
      </c>
      <c r="D141" s="73" t="s">
        <v>597</v>
      </c>
      <c r="E141" s="53" t="s">
        <v>181</v>
      </c>
      <c r="F141" s="58">
        <v>0</v>
      </c>
      <c r="G141" s="58">
        <v>1350</v>
      </c>
      <c r="H141" s="58">
        <f t="shared" si="9"/>
        <v>1105</v>
      </c>
      <c r="I141" s="53">
        <v>3563</v>
      </c>
      <c r="J141" s="53"/>
      <c r="K141" s="53"/>
      <c r="L141" s="53"/>
      <c r="M141" s="59"/>
      <c r="N141" s="59"/>
      <c r="O141" s="59"/>
      <c r="P141" s="59"/>
      <c r="Q141" s="59"/>
    </row>
    <row r="142" spans="1:17" ht="12.75" customHeight="1" x14ac:dyDescent="0.2">
      <c r="A142" s="53">
        <v>8</v>
      </c>
      <c r="B142" s="53">
        <v>2021</v>
      </c>
      <c r="C142" s="53" t="str">
        <f t="shared" si="8"/>
        <v>Priv Tax: 1</v>
      </c>
      <c r="D142" s="73" t="s">
        <v>597</v>
      </c>
      <c r="E142" s="53" t="s">
        <v>59</v>
      </c>
      <c r="F142" s="58">
        <v>0</v>
      </c>
      <c r="G142" s="58">
        <v>0</v>
      </c>
      <c r="H142" s="58">
        <f t="shared" si="9"/>
        <v>1105</v>
      </c>
      <c r="I142" s="53">
        <v>3564</v>
      </c>
      <c r="J142" s="53"/>
      <c r="K142" s="53"/>
      <c r="L142" s="53"/>
      <c r="M142" s="59"/>
      <c r="N142" s="59"/>
      <c r="O142" s="59"/>
      <c r="P142" s="59"/>
      <c r="Q142" s="59"/>
    </row>
    <row r="143" spans="1:17" ht="12.75" customHeight="1" x14ac:dyDescent="0.2">
      <c r="A143" s="53">
        <v>9</v>
      </c>
      <c r="B143" s="53">
        <v>2021</v>
      </c>
      <c r="C143" s="53" t="str">
        <f t="shared" si="8"/>
        <v>Rent: 1</v>
      </c>
      <c r="D143" s="73" t="s">
        <v>598</v>
      </c>
      <c r="E143" s="53" t="s">
        <v>184</v>
      </c>
      <c r="F143" s="58">
        <v>0</v>
      </c>
      <c r="G143" s="58">
        <v>1600</v>
      </c>
      <c r="H143" s="58">
        <f t="shared" si="9"/>
        <v>2705</v>
      </c>
      <c r="I143" s="53">
        <v>3565</v>
      </c>
      <c r="J143" s="53"/>
      <c r="K143" s="53"/>
      <c r="L143" s="53"/>
      <c r="M143" s="58"/>
      <c r="N143" s="58"/>
      <c r="O143" s="59"/>
      <c r="P143" s="59"/>
      <c r="Q143" s="59"/>
    </row>
    <row r="144" spans="1:17" ht="12.75" customHeight="1" x14ac:dyDescent="0.2">
      <c r="A144" s="53">
        <v>9</v>
      </c>
      <c r="B144" s="53">
        <v>2021</v>
      </c>
      <c r="C144" s="53" t="str">
        <f t="shared" si="8"/>
        <v>Priv Tax: 1</v>
      </c>
      <c r="D144" s="73" t="s">
        <v>598</v>
      </c>
      <c r="E144" s="53" t="s">
        <v>59</v>
      </c>
      <c r="F144" s="58">
        <v>0</v>
      </c>
      <c r="G144" s="58">
        <v>0</v>
      </c>
      <c r="H144" s="58">
        <f t="shared" si="9"/>
        <v>2705</v>
      </c>
      <c r="I144" s="53">
        <v>3566</v>
      </c>
      <c r="J144" s="53"/>
      <c r="K144" s="53"/>
      <c r="L144" s="53"/>
      <c r="M144" s="59"/>
      <c r="N144" s="59"/>
      <c r="O144" s="59"/>
      <c r="P144" s="59"/>
      <c r="Q144" s="59"/>
    </row>
    <row r="145" spans="1:17" ht="12.75" customHeight="1" x14ac:dyDescent="0.2">
      <c r="A145" s="53">
        <v>10</v>
      </c>
      <c r="B145" s="53">
        <v>2021</v>
      </c>
      <c r="C145" s="53" t="str">
        <f t="shared" si="8"/>
        <v>Rent: 1</v>
      </c>
      <c r="D145" s="73" t="s">
        <v>599</v>
      </c>
      <c r="E145" s="53" t="s">
        <v>187</v>
      </c>
      <c r="F145" s="58">
        <v>0</v>
      </c>
      <c r="G145" s="58">
        <v>1600</v>
      </c>
      <c r="H145" s="58">
        <f t="shared" si="9"/>
        <v>4305</v>
      </c>
      <c r="I145" s="53">
        <v>3567</v>
      </c>
      <c r="J145" s="53"/>
      <c r="K145" s="53"/>
      <c r="L145" s="53"/>
      <c r="M145" s="53"/>
      <c r="N145" s="53"/>
      <c r="O145" s="59"/>
      <c r="P145" s="59"/>
      <c r="Q145" s="59"/>
    </row>
    <row r="146" spans="1:17" ht="12.75" customHeight="1" x14ac:dyDescent="0.2">
      <c r="A146" s="53">
        <v>10</v>
      </c>
      <c r="B146" s="53">
        <v>2021</v>
      </c>
      <c r="C146" s="53" t="str">
        <f t="shared" si="8"/>
        <v>Priv Tax: 1</v>
      </c>
      <c r="D146" s="73" t="s">
        <v>599</v>
      </c>
      <c r="E146" s="53" t="s">
        <v>59</v>
      </c>
      <c r="F146" s="58">
        <v>0</v>
      </c>
      <c r="G146" s="58">
        <v>0</v>
      </c>
      <c r="H146" s="58">
        <f t="shared" si="9"/>
        <v>4305</v>
      </c>
      <c r="I146" s="53">
        <v>3568</v>
      </c>
      <c r="J146" s="53"/>
      <c r="K146" s="53"/>
      <c r="L146" s="53"/>
      <c r="M146" s="58"/>
      <c r="N146" s="58"/>
      <c r="O146" s="59"/>
      <c r="P146" s="59"/>
      <c r="Q146" s="59"/>
    </row>
    <row r="147" spans="1:17" ht="12.75" customHeight="1" x14ac:dyDescent="0.2">
      <c r="A147" s="53">
        <v>10</v>
      </c>
      <c r="B147" s="53">
        <v>2021</v>
      </c>
      <c r="C147" s="53" t="str">
        <f t="shared" si="8"/>
        <v>Income: 1</v>
      </c>
      <c r="D147" s="73" t="s">
        <v>600</v>
      </c>
      <c r="E147" s="53" t="s">
        <v>49</v>
      </c>
      <c r="F147" s="58">
        <v>5400</v>
      </c>
      <c r="G147" s="58">
        <v>0</v>
      </c>
      <c r="H147" s="58">
        <f t="shared" si="9"/>
        <v>-1095</v>
      </c>
      <c r="I147" s="53">
        <v>3569</v>
      </c>
      <c r="J147" s="53"/>
      <c r="K147" s="53"/>
      <c r="L147" s="53"/>
      <c r="M147" s="59"/>
      <c r="N147" s="59"/>
      <c r="O147" s="59"/>
      <c r="P147" s="59"/>
      <c r="Q147" s="59"/>
    </row>
    <row r="148" spans="1:17" ht="12.75" customHeight="1" x14ac:dyDescent="0.2">
      <c r="A148" s="53">
        <v>10</v>
      </c>
      <c r="B148" s="53">
        <v>2021</v>
      </c>
      <c r="C148" s="53" t="str">
        <f t="shared" si="8"/>
        <v>Income: 1</v>
      </c>
      <c r="D148" s="73" t="s">
        <v>601</v>
      </c>
      <c r="E148" s="53" t="s">
        <v>49</v>
      </c>
      <c r="F148" s="58">
        <v>500</v>
      </c>
      <c r="G148" s="58">
        <v>0</v>
      </c>
      <c r="H148" s="58">
        <f t="shared" si="9"/>
        <v>-1595</v>
      </c>
      <c r="I148" s="53">
        <v>3570</v>
      </c>
      <c r="J148" s="53"/>
      <c r="K148" s="53"/>
      <c r="L148" s="53"/>
      <c r="M148" s="59"/>
      <c r="N148" s="59"/>
      <c r="O148" s="59"/>
      <c r="P148" s="59"/>
      <c r="Q148" s="59"/>
    </row>
    <row r="149" spans="1:17" ht="12.75" customHeight="1" x14ac:dyDescent="0.2">
      <c r="A149" s="53">
        <v>11</v>
      </c>
      <c r="B149" s="53">
        <v>2021</v>
      </c>
      <c r="C149" s="53" t="str">
        <f t="shared" si="8"/>
        <v>Rent: 1</v>
      </c>
      <c r="D149" s="73" t="s">
        <v>602</v>
      </c>
      <c r="E149" s="53" t="s">
        <v>190</v>
      </c>
      <c r="F149" s="58">
        <v>0</v>
      </c>
      <c r="G149" s="58">
        <v>1600</v>
      </c>
      <c r="H149" s="58">
        <f t="shared" si="9"/>
        <v>5</v>
      </c>
      <c r="I149" s="53">
        <v>3571</v>
      </c>
      <c r="J149" s="53"/>
      <c r="K149" s="53"/>
      <c r="L149" s="53"/>
      <c r="M149" s="59"/>
      <c r="N149" s="59"/>
      <c r="O149" s="59"/>
      <c r="P149" s="59"/>
      <c r="Q149" s="59"/>
    </row>
    <row r="150" spans="1:17" ht="12.75" customHeight="1" x14ac:dyDescent="0.2">
      <c r="A150" s="53">
        <v>12</v>
      </c>
      <c r="B150" s="53">
        <v>2021</v>
      </c>
      <c r="C150" s="53" t="str">
        <f t="shared" si="8"/>
        <v>Income: 1</v>
      </c>
      <c r="D150" s="73" t="s">
        <v>194</v>
      </c>
      <c r="E150" s="53" t="s">
        <v>49</v>
      </c>
      <c r="F150" s="58">
        <v>1675</v>
      </c>
      <c r="G150" s="58">
        <v>0</v>
      </c>
      <c r="H150" s="58">
        <f t="shared" si="9"/>
        <v>-1670</v>
      </c>
      <c r="I150" s="53">
        <v>3572</v>
      </c>
      <c r="J150" s="53"/>
      <c r="K150" s="53"/>
      <c r="L150" s="53"/>
      <c r="M150" s="59"/>
      <c r="N150" s="59"/>
      <c r="O150" s="59"/>
      <c r="P150" s="59"/>
      <c r="Q150" s="59"/>
    </row>
    <row r="151" spans="1:17" ht="12.75" customHeight="1" x14ac:dyDescent="0.2">
      <c r="A151" s="53">
        <v>12</v>
      </c>
      <c r="B151" s="53">
        <v>2021</v>
      </c>
      <c r="C151" s="53" t="str">
        <f t="shared" si="8"/>
        <v>Rent: 1</v>
      </c>
      <c r="D151" s="73" t="s">
        <v>428</v>
      </c>
      <c r="E151" s="53" t="s">
        <v>193</v>
      </c>
      <c r="F151" s="58">
        <v>0</v>
      </c>
      <c r="G151" s="58">
        <v>1600</v>
      </c>
      <c r="H151" s="58">
        <f t="shared" si="9"/>
        <v>-70</v>
      </c>
      <c r="I151" s="53">
        <v>3573</v>
      </c>
      <c r="J151" s="53"/>
      <c r="K151" s="53"/>
      <c r="L151" s="53"/>
      <c r="M151" s="59"/>
      <c r="N151" s="59"/>
      <c r="O151" s="59"/>
      <c r="P151" s="59"/>
      <c r="Q151" s="59"/>
    </row>
    <row r="152" spans="1:17" ht="12.75" customHeight="1" x14ac:dyDescent="0.2">
      <c r="A152" s="53">
        <v>12</v>
      </c>
      <c r="B152" s="53">
        <v>2021</v>
      </c>
      <c r="C152" s="53" t="str">
        <f t="shared" si="8"/>
        <v>Priv Tax: 1</v>
      </c>
      <c r="D152" s="73" t="s">
        <v>428</v>
      </c>
      <c r="E152" s="53" t="s">
        <v>59</v>
      </c>
      <c r="F152" s="58">
        <v>0</v>
      </c>
      <c r="G152" s="58">
        <v>0</v>
      </c>
      <c r="H152" s="58">
        <f t="shared" si="9"/>
        <v>-70</v>
      </c>
      <c r="I152" s="53">
        <v>3574</v>
      </c>
      <c r="J152" s="53"/>
      <c r="K152" s="53"/>
      <c r="L152" s="53"/>
      <c r="M152" s="53"/>
      <c r="N152" s="53"/>
      <c r="O152" s="59"/>
      <c r="P152" s="59"/>
      <c r="Q152" s="59"/>
    </row>
    <row r="153" spans="1:17" ht="12.75" customHeight="1" x14ac:dyDescent="0.2">
      <c r="A153" s="53">
        <v>1</v>
      </c>
      <c r="B153" s="53">
        <v>2022</v>
      </c>
      <c r="C153" s="53" t="str">
        <f t="shared" si="8"/>
        <v>Income: 1</v>
      </c>
      <c r="D153" s="73" t="s">
        <v>603</v>
      </c>
      <c r="E153" s="53" t="s">
        <v>49</v>
      </c>
      <c r="F153" s="58">
        <v>1880</v>
      </c>
      <c r="G153" s="58">
        <v>0</v>
      </c>
      <c r="H153" s="58">
        <f t="shared" si="9"/>
        <v>-1950</v>
      </c>
      <c r="I153" s="53">
        <v>3575</v>
      </c>
      <c r="J153" s="53"/>
      <c r="K153" s="53"/>
      <c r="L153" s="53"/>
      <c r="M153" s="58"/>
      <c r="N153" s="58"/>
      <c r="O153" s="59"/>
      <c r="P153" s="59"/>
      <c r="Q153" s="59"/>
    </row>
    <row r="154" spans="1:17" ht="12.75" customHeight="1" x14ac:dyDescent="0.2">
      <c r="A154" s="53">
        <v>1</v>
      </c>
      <c r="B154" s="53">
        <v>2022</v>
      </c>
      <c r="C154" s="53" t="str">
        <f t="shared" si="8"/>
        <v>Late Fee 1</v>
      </c>
      <c r="D154" s="73" t="s">
        <v>470</v>
      </c>
      <c r="E154" s="53" t="s">
        <v>50</v>
      </c>
      <c r="F154" s="58">
        <v>0</v>
      </c>
      <c r="G154" s="58">
        <v>355</v>
      </c>
      <c r="H154" s="58">
        <f t="shared" si="9"/>
        <v>-1595</v>
      </c>
      <c r="I154" s="53">
        <v>3576</v>
      </c>
      <c r="J154" s="53"/>
      <c r="K154" s="53"/>
      <c r="L154" s="53"/>
      <c r="M154" s="59"/>
      <c r="N154" s="59"/>
      <c r="O154" s="59"/>
      <c r="P154" s="59"/>
      <c r="Q154" s="59"/>
    </row>
    <row r="155" spans="1:17" ht="12.75" customHeight="1" x14ac:dyDescent="0.2">
      <c r="A155" s="53">
        <v>1</v>
      </c>
      <c r="B155" s="53">
        <v>2022</v>
      </c>
      <c r="C155" s="53" t="str">
        <f t="shared" si="8"/>
        <v>Rent: 1</v>
      </c>
      <c r="D155" s="73" t="s">
        <v>604</v>
      </c>
      <c r="E155" s="53" t="s">
        <v>196</v>
      </c>
      <c r="F155" s="58">
        <v>0</v>
      </c>
      <c r="G155" s="58">
        <v>1600</v>
      </c>
      <c r="H155" s="58">
        <f t="shared" si="9"/>
        <v>5</v>
      </c>
      <c r="I155" s="53">
        <v>3577</v>
      </c>
      <c r="J155" s="53"/>
      <c r="K155" s="53"/>
      <c r="L155" s="53"/>
      <c r="M155" s="59"/>
      <c r="N155" s="59"/>
      <c r="O155" s="59"/>
      <c r="P155" s="59"/>
      <c r="Q155" s="59"/>
    </row>
    <row r="156" spans="1:17" ht="12.75" customHeight="1" x14ac:dyDescent="0.2">
      <c r="A156" s="53">
        <v>2</v>
      </c>
      <c r="B156" s="53">
        <v>2022</v>
      </c>
      <c r="C156" s="53" t="str">
        <f t="shared" si="8"/>
        <v>Income: 1</v>
      </c>
      <c r="D156" s="73" t="s">
        <v>605</v>
      </c>
      <c r="E156" s="53" t="s">
        <v>49</v>
      </c>
      <c r="F156" s="58">
        <v>1850</v>
      </c>
      <c r="G156" s="58">
        <v>0</v>
      </c>
      <c r="H156" s="58">
        <f t="shared" si="9"/>
        <v>-1845</v>
      </c>
      <c r="I156" s="53">
        <v>3578</v>
      </c>
      <c r="J156" s="53"/>
      <c r="K156" s="53"/>
      <c r="L156" s="53"/>
      <c r="M156" s="59"/>
      <c r="N156" s="59"/>
      <c r="O156" s="59"/>
      <c r="P156" s="59"/>
      <c r="Q156" s="59"/>
    </row>
    <row r="157" spans="1:17" ht="12.75" customHeight="1" x14ac:dyDescent="0.2">
      <c r="A157" s="53">
        <v>1</v>
      </c>
      <c r="B157" s="53">
        <v>2022</v>
      </c>
      <c r="C157" s="53" t="str">
        <f t="shared" si="8"/>
        <v>Late Fee 1</v>
      </c>
      <c r="D157" s="73" t="s">
        <v>470</v>
      </c>
      <c r="E157" s="53" t="s">
        <v>50</v>
      </c>
      <c r="F157" s="58">
        <v>0</v>
      </c>
      <c r="G157" s="58">
        <v>250</v>
      </c>
      <c r="H157" s="58">
        <f t="shared" si="9"/>
        <v>-1595</v>
      </c>
      <c r="I157" s="53">
        <v>3579</v>
      </c>
      <c r="J157" s="53"/>
      <c r="K157" s="53"/>
      <c r="L157" s="53"/>
      <c r="M157" s="59"/>
      <c r="N157" s="59"/>
      <c r="O157" s="59"/>
      <c r="P157" s="59"/>
      <c r="Q157" s="59"/>
    </row>
    <row r="158" spans="1:17" ht="12.75" customHeight="1" x14ac:dyDescent="0.2">
      <c r="A158" s="53">
        <v>2</v>
      </c>
      <c r="B158" s="53">
        <v>2022</v>
      </c>
      <c r="C158" s="53" t="str">
        <f t="shared" si="8"/>
        <v>Rent: 1</v>
      </c>
      <c r="D158" s="73" t="s">
        <v>432</v>
      </c>
      <c r="E158" s="53" t="s">
        <v>199</v>
      </c>
      <c r="F158" s="58">
        <v>0</v>
      </c>
      <c r="G158" s="58">
        <v>1725</v>
      </c>
      <c r="H158" s="58">
        <f t="shared" si="9"/>
        <v>130</v>
      </c>
      <c r="I158" s="53">
        <v>3580</v>
      </c>
      <c r="J158" s="53"/>
      <c r="K158" s="53"/>
      <c r="L158" s="53"/>
      <c r="M158" s="59"/>
      <c r="N158" s="59"/>
      <c r="O158" s="59"/>
      <c r="P158" s="59"/>
      <c r="Q158" s="59"/>
    </row>
    <row r="159" spans="1:17" ht="12.75" customHeight="1" x14ac:dyDescent="0.2">
      <c r="A159" s="53">
        <v>3</v>
      </c>
      <c r="B159" s="53">
        <v>2022</v>
      </c>
      <c r="C159" s="53" t="str">
        <f t="shared" si="8"/>
        <v>Income: 1</v>
      </c>
      <c r="D159" s="73" t="s">
        <v>472</v>
      </c>
      <c r="E159" s="53" t="s">
        <v>49</v>
      </c>
      <c r="F159" s="58">
        <v>1725</v>
      </c>
      <c r="G159" s="58">
        <v>0</v>
      </c>
      <c r="H159" s="58">
        <f t="shared" si="9"/>
        <v>-1595</v>
      </c>
      <c r="I159" s="53">
        <v>3581</v>
      </c>
      <c r="J159" s="53"/>
      <c r="K159" s="53"/>
      <c r="L159" s="53"/>
      <c r="M159" s="59"/>
      <c r="N159" s="59"/>
      <c r="O159" s="59"/>
      <c r="P159" s="59"/>
      <c r="Q159" s="59"/>
    </row>
    <row r="160" spans="1:17" ht="12.75" customHeight="1" x14ac:dyDescent="0.2">
      <c r="A160" s="53">
        <v>3</v>
      </c>
      <c r="B160" s="53">
        <v>2022</v>
      </c>
      <c r="C160" s="53" t="str">
        <f t="shared" si="8"/>
        <v>Rent: 1</v>
      </c>
      <c r="D160" s="73" t="s">
        <v>606</v>
      </c>
      <c r="E160" s="53" t="s">
        <v>202</v>
      </c>
      <c r="F160" s="58">
        <v>0</v>
      </c>
      <c r="G160" s="58">
        <v>1725</v>
      </c>
      <c r="H160" s="58">
        <f t="shared" si="9"/>
        <v>130</v>
      </c>
      <c r="I160" s="53">
        <v>3582</v>
      </c>
      <c r="J160" s="53"/>
      <c r="K160" s="53"/>
      <c r="L160" s="53"/>
      <c r="M160" s="59"/>
      <c r="N160" s="59"/>
      <c r="O160" s="59"/>
      <c r="P160" s="59"/>
      <c r="Q160" s="59"/>
    </row>
    <row r="161" spans="1:26" ht="12.75" customHeight="1" x14ac:dyDescent="0.2">
      <c r="A161" s="53">
        <v>4</v>
      </c>
      <c r="B161" s="53">
        <v>2022</v>
      </c>
      <c r="C161" s="53" t="str">
        <f t="shared" si="8"/>
        <v>Income: 1</v>
      </c>
      <c r="D161" s="73" t="s">
        <v>433</v>
      </c>
      <c r="E161" s="53" t="s">
        <v>49</v>
      </c>
      <c r="F161" s="58">
        <v>1725</v>
      </c>
      <c r="G161" s="58">
        <v>0</v>
      </c>
      <c r="H161" s="58">
        <f t="shared" si="9"/>
        <v>-1595</v>
      </c>
      <c r="I161" s="53">
        <v>3583</v>
      </c>
      <c r="J161" s="53"/>
      <c r="K161" s="53"/>
      <c r="L161" s="53"/>
      <c r="M161" s="53"/>
      <c r="N161" s="53"/>
      <c r="O161" s="59"/>
      <c r="P161" s="59"/>
      <c r="Q161" s="59"/>
    </row>
    <row r="162" spans="1:26" ht="12.75" customHeight="1" x14ac:dyDescent="0.2">
      <c r="A162" s="53">
        <v>4</v>
      </c>
      <c r="B162" s="53">
        <v>2022</v>
      </c>
      <c r="C162" s="53" t="str">
        <f t="shared" si="8"/>
        <v>Rent: 1</v>
      </c>
      <c r="D162" s="73" t="s">
        <v>607</v>
      </c>
      <c r="E162" s="53" t="s">
        <v>205</v>
      </c>
      <c r="F162" s="58">
        <v>0</v>
      </c>
      <c r="G162" s="58">
        <v>1725</v>
      </c>
      <c r="H162" s="58">
        <f t="shared" si="9"/>
        <v>130</v>
      </c>
      <c r="I162" s="53">
        <v>3584</v>
      </c>
      <c r="J162" s="53"/>
      <c r="K162" s="53"/>
      <c r="L162" s="53"/>
      <c r="M162" s="58"/>
      <c r="N162" s="58"/>
      <c r="O162" s="59"/>
      <c r="P162" s="59"/>
      <c r="Q162" s="59"/>
    </row>
    <row r="163" spans="1:26" ht="12.75" customHeight="1" x14ac:dyDescent="0.2">
      <c r="A163" s="53">
        <v>5</v>
      </c>
      <c r="B163" s="53">
        <v>2022</v>
      </c>
      <c r="C163" s="53" t="str">
        <f t="shared" si="8"/>
        <v>Income: 1</v>
      </c>
      <c r="D163" s="73" t="s">
        <v>436</v>
      </c>
      <c r="E163" s="53" t="s">
        <v>49</v>
      </c>
      <c r="F163" s="58">
        <v>1725</v>
      </c>
      <c r="G163" s="58">
        <v>0</v>
      </c>
      <c r="H163" s="58">
        <f t="shared" si="9"/>
        <v>-1595</v>
      </c>
      <c r="I163" s="59">
        <v>3585</v>
      </c>
      <c r="J163" s="59"/>
      <c r="K163" s="59"/>
      <c r="L163" s="59"/>
      <c r="M163" s="59"/>
      <c r="N163" s="59"/>
      <c r="O163" s="59"/>
      <c r="P163" s="59"/>
      <c r="Q163" s="59"/>
    </row>
    <row r="164" spans="1:26" ht="12.75" customHeight="1" x14ac:dyDescent="0.2">
      <c r="A164" s="53">
        <v>5</v>
      </c>
      <c r="B164" s="53">
        <v>2022</v>
      </c>
      <c r="C164" s="53" t="str">
        <f t="shared" si="8"/>
        <v>Rent: 1</v>
      </c>
      <c r="D164" s="73" t="s">
        <v>608</v>
      </c>
      <c r="E164" s="53" t="s">
        <v>208</v>
      </c>
      <c r="F164" s="58">
        <v>0</v>
      </c>
      <c r="G164" s="58">
        <v>1725</v>
      </c>
      <c r="H164" s="58">
        <f t="shared" si="9"/>
        <v>130</v>
      </c>
      <c r="I164" s="53">
        <v>3586</v>
      </c>
      <c r="J164" s="53"/>
      <c r="K164" s="53"/>
      <c r="L164" s="53"/>
      <c r="M164" s="53"/>
      <c r="N164" s="53"/>
      <c r="O164" s="53"/>
      <c r="P164" s="53"/>
      <c r="Q164" s="53"/>
    </row>
    <row r="165" spans="1:26" ht="12.75" customHeight="1" x14ac:dyDescent="0.2">
      <c r="A165" s="53">
        <v>6</v>
      </c>
      <c r="B165" s="53">
        <v>2022</v>
      </c>
      <c r="C165" s="53" t="str">
        <f t="shared" ref="C165:C185" si="10">IFERROR("Late Fee "&amp;FIND("Late Fee",E165),IFERROR("Internet "&amp;FIND("Internet",E165),IFERROR("Utilities "&amp;FIND("Utilities",E165),IFERROR("Rent: "&amp;FIND("Rent",E165),IFERROR("Priv Tax: "&amp;FIND("Tax",E165),IFERROR("Income: "&amp;FIND("Payment",E165,1),""))))))</f>
        <v>Income: 1</v>
      </c>
      <c r="D165" s="73" t="s">
        <v>212</v>
      </c>
      <c r="E165" s="53" t="s">
        <v>49</v>
      </c>
      <c r="F165" s="58">
        <v>1780</v>
      </c>
      <c r="G165" s="58">
        <v>0</v>
      </c>
      <c r="H165" s="58">
        <f t="shared" si="9"/>
        <v>-1650</v>
      </c>
      <c r="I165" s="53">
        <v>3587</v>
      </c>
      <c r="J165" s="53"/>
      <c r="K165" s="53"/>
      <c r="L165" s="53"/>
      <c r="M165" s="53"/>
      <c r="N165" s="53"/>
      <c r="O165" s="53"/>
      <c r="P165" s="53"/>
      <c r="Q165" s="53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12.75" customHeight="1" x14ac:dyDescent="0.2">
      <c r="A166" s="53">
        <v>6</v>
      </c>
      <c r="B166" s="53">
        <v>2022</v>
      </c>
      <c r="C166" s="53" t="str">
        <f t="shared" si="10"/>
        <v>Late Fee 1</v>
      </c>
      <c r="D166" s="73" t="s">
        <v>212</v>
      </c>
      <c r="E166" s="53" t="s">
        <v>50</v>
      </c>
      <c r="F166" s="58">
        <v>0</v>
      </c>
      <c r="G166" s="58">
        <v>55</v>
      </c>
      <c r="H166" s="58">
        <f t="shared" ref="H166:H185" si="11" xml:space="preserve"> H165 + G166 - F166</f>
        <v>-1595</v>
      </c>
      <c r="I166" s="59">
        <v>3588</v>
      </c>
      <c r="J166" s="59"/>
      <c r="K166" s="59"/>
      <c r="L166" s="59"/>
      <c r="M166" s="59"/>
      <c r="N166" s="59"/>
      <c r="O166" s="59"/>
      <c r="P166" s="59"/>
      <c r="Q166" s="59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12.75" customHeight="1" x14ac:dyDescent="0.2">
      <c r="A167" s="53">
        <v>6</v>
      </c>
      <c r="B167" s="53">
        <v>2022</v>
      </c>
      <c r="C167" s="53" t="str">
        <f t="shared" si="10"/>
        <v>Rent: 1</v>
      </c>
      <c r="D167" s="73" t="s">
        <v>609</v>
      </c>
      <c r="E167" s="53" t="s">
        <v>211</v>
      </c>
      <c r="F167" s="58">
        <v>0</v>
      </c>
      <c r="G167" s="58">
        <v>1725</v>
      </c>
      <c r="H167" s="58">
        <f t="shared" si="11"/>
        <v>130</v>
      </c>
      <c r="I167" s="53">
        <v>3589</v>
      </c>
      <c r="J167" s="53"/>
      <c r="K167" s="53"/>
      <c r="L167" s="53"/>
      <c r="M167" s="53"/>
      <c r="N167" s="53"/>
      <c r="O167" s="53"/>
      <c r="P167" s="53"/>
      <c r="Q167" s="53"/>
    </row>
    <row r="168" spans="1:26" ht="12.75" customHeight="1" x14ac:dyDescent="0.2">
      <c r="A168" s="53">
        <v>7</v>
      </c>
      <c r="B168" s="53">
        <v>2022</v>
      </c>
      <c r="C168" s="53" t="str">
        <f t="shared" si="10"/>
        <v>Income: 1</v>
      </c>
      <c r="D168" s="73" t="s">
        <v>477</v>
      </c>
      <c r="E168" s="53" t="s">
        <v>49</v>
      </c>
      <c r="F168" s="58">
        <v>1725</v>
      </c>
      <c r="G168" s="58">
        <v>0</v>
      </c>
      <c r="H168" s="58">
        <f t="shared" si="11"/>
        <v>-1595</v>
      </c>
      <c r="I168" s="59">
        <v>3590</v>
      </c>
      <c r="J168" s="59"/>
      <c r="K168" s="59"/>
      <c r="L168" s="59"/>
      <c r="M168" s="59"/>
      <c r="N168" s="59"/>
      <c r="O168" s="59"/>
      <c r="P168" s="59"/>
      <c r="Q168" s="59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12.75" customHeight="1" x14ac:dyDescent="0.2">
      <c r="A169" s="53">
        <v>7</v>
      </c>
      <c r="B169" s="53">
        <v>2022</v>
      </c>
      <c r="C169" s="53" t="str">
        <f t="shared" si="10"/>
        <v>Rent: 1</v>
      </c>
      <c r="D169" s="73" t="s">
        <v>610</v>
      </c>
      <c r="E169" s="53" t="s">
        <v>214</v>
      </c>
      <c r="F169" s="58">
        <v>0</v>
      </c>
      <c r="G169" s="58">
        <v>1725</v>
      </c>
      <c r="H169" s="58">
        <f t="shared" si="11"/>
        <v>130</v>
      </c>
      <c r="I169" s="59">
        <v>3591</v>
      </c>
      <c r="J169" s="59"/>
      <c r="K169" s="59"/>
      <c r="L169" s="59"/>
      <c r="M169" s="53"/>
      <c r="N169" s="53"/>
      <c r="O169" s="59"/>
      <c r="P169" s="59"/>
      <c r="Q169" s="59"/>
    </row>
    <row r="170" spans="1:26" ht="12.75" customHeight="1" x14ac:dyDescent="0.2">
      <c r="A170" s="53">
        <v>8</v>
      </c>
      <c r="B170" s="53">
        <v>2022</v>
      </c>
      <c r="C170" s="53" t="str">
        <f t="shared" si="10"/>
        <v>Income: 1</v>
      </c>
      <c r="D170" s="73" t="s">
        <v>441</v>
      </c>
      <c r="E170" s="53" t="s">
        <v>49</v>
      </c>
      <c r="F170" s="58">
        <v>1780</v>
      </c>
      <c r="G170" s="58">
        <v>0</v>
      </c>
      <c r="H170" s="58">
        <f t="shared" si="11"/>
        <v>-1650</v>
      </c>
      <c r="I170" s="53">
        <v>3592</v>
      </c>
      <c r="J170" s="53"/>
      <c r="K170" s="53"/>
      <c r="L170" s="53"/>
      <c r="M170" s="58"/>
      <c r="N170" s="58"/>
      <c r="O170" s="53"/>
      <c r="P170" s="53"/>
      <c r="Q170" s="53"/>
    </row>
    <row r="171" spans="1:26" ht="12.75" customHeight="1" x14ac:dyDescent="0.2">
      <c r="A171" s="53">
        <v>8</v>
      </c>
      <c r="B171" s="53">
        <v>2022</v>
      </c>
      <c r="C171" s="53" t="str">
        <f t="shared" si="10"/>
        <v>Rent: 1</v>
      </c>
      <c r="D171" s="73" t="s">
        <v>611</v>
      </c>
      <c r="E171" s="53" t="s">
        <v>217</v>
      </c>
      <c r="F171" s="58">
        <v>0</v>
      </c>
      <c r="G171" s="58">
        <v>1725</v>
      </c>
      <c r="H171" s="58">
        <f t="shared" si="11"/>
        <v>75</v>
      </c>
      <c r="I171" s="59">
        <v>3593</v>
      </c>
      <c r="J171" s="59"/>
      <c r="K171" s="59"/>
      <c r="L171" s="59"/>
      <c r="M171" s="59"/>
      <c r="N171" s="59"/>
      <c r="O171" s="59"/>
      <c r="P171" s="59"/>
      <c r="Q171" s="59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12" customHeight="1" x14ac:dyDescent="0.2">
      <c r="A172" s="53">
        <v>9</v>
      </c>
      <c r="B172" s="53">
        <v>2022</v>
      </c>
      <c r="C172" s="53" t="str">
        <f t="shared" si="10"/>
        <v>Income: 1</v>
      </c>
      <c r="D172" s="73" t="s">
        <v>221</v>
      </c>
      <c r="E172" s="53" t="s">
        <v>49</v>
      </c>
      <c r="F172" s="58">
        <v>1780</v>
      </c>
      <c r="G172" s="58">
        <v>0</v>
      </c>
      <c r="H172" s="58">
        <f t="shared" si="11"/>
        <v>-1705</v>
      </c>
      <c r="I172" s="53">
        <v>3594</v>
      </c>
      <c r="J172" s="53"/>
      <c r="K172" s="53"/>
      <c r="L172" s="53"/>
      <c r="M172" s="53"/>
      <c r="N172" s="53"/>
      <c r="O172" s="53"/>
      <c r="P172" s="53"/>
      <c r="Q172" s="53"/>
    </row>
    <row r="173" spans="1:26" ht="12.75" customHeight="1" x14ac:dyDescent="0.2">
      <c r="A173" s="53">
        <v>9</v>
      </c>
      <c r="B173" s="53">
        <v>2022</v>
      </c>
      <c r="C173" s="53" t="str">
        <f t="shared" si="10"/>
        <v>Late Fee 1</v>
      </c>
      <c r="D173" s="73" t="s">
        <v>221</v>
      </c>
      <c r="E173" s="53" t="s">
        <v>50</v>
      </c>
      <c r="F173" s="58">
        <v>0</v>
      </c>
      <c r="G173" s="58">
        <v>55</v>
      </c>
      <c r="H173" s="58">
        <f t="shared" si="11"/>
        <v>-1650</v>
      </c>
      <c r="I173" s="59">
        <v>3595</v>
      </c>
      <c r="J173" s="59"/>
      <c r="K173" s="59"/>
      <c r="L173" s="59"/>
      <c r="M173" s="59"/>
      <c r="N173" s="59"/>
      <c r="O173" s="59"/>
      <c r="P173" s="59"/>
      <c r="Q173" s="59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12.75" customHeight="1" x14ac:dyDescent="0.2">
      <c r="A174" s="53">
        <v>9</v>
      </c>
      <c r="B174" s="53">
        <v>2022</v>
      </c>
      <c r="C174" s="53" t="str">
        <f t="shared" si="10"/>
        <v>Rent: 1</v>
      </c>
      <c r="D174" s="73" t="s">
        <v>612</v>
      </c>
      <c r="E174" s="53" t="s">
        <v>220</v>
      </c>
      <c r="F174" s="58">
        <v>0</v>
      </c>
      <c r="G174" s="58">
        <v>1725</v>
      </c>
      <c r="H174" s="58">
        <f t="shared" si="11"/>
        <v>75</v>
      </c>
      <c r="I174" s="59">
        <v>3596</v>
      </c>
      <c r="J174" s="59"/>
      <c r="K174" s="59"/>
      <c r="L174" s="59"/>
      <c r="M174" s="59"/>
      <c r="N174" s="59"/>
      <c r="O174" s="59"/>
      <c r="P174" s="59"/>
      <c r="Q174" s="59"/>
    </row>
    <row r="175" spans="1:26" ht="12.75" customHeight="1" x14ac:dyDescent="0.2">
      <c r="A175" s="53">
        <v>10</v>
      </c>
      <c r="B175" s="53">
        <v>2022</v>
      </c>
      <c r="C175" s="53" t="str">
        <f t="shared" si="10"/>
        <v>Income: 1</v>
      </c>
      <c r="D175" s="73" t="s">
        <v>613</v>
      </c>
      <c r="E175" s="53" t="s">
        <v>49</v>
      </c>
      <c r="F175" s="58">
        <v>1895</v>
      </c>
      <c r="G175" s="58">
        <v>0</v>
      </c>
      <c r="H175" s="58">
        <f t="shared" si="11"/>
        <v>-1820</v>
      </c>
      <c r="I175" s="59">
        <v>3597</v>
      </c>
      <c r="J175" s="59"/>
      <c r="K175" s="59"/>
      <c r="L175" s="59"/>
      <c r="M175" s="53"/>
      <c r="N175" s="53"/>
      <c r="O175" s="59"/>
      <c r="P175" s="59"/>
      <c r="Q175" s="59"/>
    </row>
    <row r="176" spans="1:26" ht="12.75" customHeight="1" x14ac:dyDescent="0.2">
      <c r="A176" s="53">
        <v>9</v>
      </c>
      <c r="B176" s="53">
        <v>2022</v>
      </c>
      <c r="C176" s="53" t="str">
        <f t="shared" si="10"/>
        <v>Late Fee 1</v>
      </c>
      <c r="D176" s="73" t="s">
        <v>221</v>
      </c>
      <c r="E176" s="53" t="s">
        <v>50</v>
      </c>
      <c r="F176" s="58">
        <v>0</v>
      </c>
      <c r="G176" s="58">
        <v>170</v>
      </c>
      <c r="H176" s="58">
        <f t="shared" si="11"/>
        <v>-1650</v>
      </c>
      <c r="I176" s="59">
        <v>3598</v>
      </c>
      <c r="J176" s="59"/>
      <c r="K176" s="59"/>
      <c r="L176" s="59"/>
      <c r="M176" s="58"/>
      <c r="N176" s="58"/>
      <c r="O176" s="59"/>
      <c r="P176" s="59"/>
      <c r="Q176" s="59"/>
    </row>
    <row r="177" spans="1:17" ht="12.75" customHeight="1" x14ac:dyDescent="0.2">
      <c r="A177" s="53">
        <v>10</v>
      </c>
      <c r="B177" s="53">
        <v>2022</v>
      </c>
      <c r="C177" s="53" t="str">
        <f t="shared" si="10"/>
        <v>Rent: 1</v>
      </c>
      <c r="D177" s="73" t="s">
        <v>614</v>
      </c>
      <c r="E177" s="53" t="s">
        <v>223</v>
      </c>
      <c r="F177" s="58">
        <v>0</v>
      </c>
      <c r="G177" s="58">
        <v>1800</v>
      </c>
      <c r="H177" s="58">
        <f t="shared" si="11"/>
        <v>150</v>
      </c>
      <c r="I177" s="59">
        <v>3599</v>
      </c>
      <c r="J177" s="59"/>
      <c r="K177" s="59"/>
      <c r="L177" s="59"/>
      <c r="M177" s="59"/>
      <c r="N177" s="59"/>
      <c r="O177" s="59"/>
      <c r="P177" s="59"/>
      <c r="Q177" s="59"/>
    </row>
    <row r="178" spans="1:17" ht="12.75" customHeight="1" x14ac:dyDescent="0.2">
      <c r="A178" s="53">
        <v>11</v>
      </c>
      <c r="B178" s="53">
        <v>2022</v>
      </c>
      <c r="C178" s="53" t="str">
        <f t="shared" si="10"/>
        <v>Income: 1</v>
      </c>
      <c r="D178" s="73" t="s">
        <v>615</v>
      </c>
      <c r="E178" s="53" t="s">
        <v>49</v>
      </c>
      <c r="F178" s="58">
        <v>1845</v>
      </c>
      <c r="G178" s="58">
        <v>0</v>
      </c>
      <c r="H178" s="58">
        <f t="shared" si="11"/>
        <v>-1695</v>
      </c>
      <c r="I178" s="59">
        <v>3600</v>
      </c>
      <c r="J178" s="59"/>
      <c r="K178" s="59"/>
      <c r="L178" s="59"/>
      <c r="M178" s="59"/>
      <c r="N178" s="59"/>
      <c r="O178" s="59"/>
      <c r="P178" s="59"/>
      <c r="Q178" s="59"/>
    </row>
    <row r="179" spans="1:17" ht="12.75" customHeight="1" x14ac:dyDescent="0.2">
      <c r="A179" s="53">
        <v>11</v>
      </c>
      <c r="B179" s="53">
        <v>2022</v>
      </c>
      <c r="C179" s="53" t="str">
        <f t="shared" si="10"/>
        <v>Late Fee 1</v>
      </c>
      <c r="D179" s="73" t="s">
        <v>615</v>
      </c>
      <c r="E179" s="53" t="s">
        <v>50</v>
      </c>
      <c r="F179" s="58">
        <v>0</v>
      </c>
      <c r="G179" s="58">
        <v>45</v>
      </c>
      <c r="H179" s="58">
        <f t="shared" si="11"/>
        <v>-1650</v>
      </c>
      <c r="I179" s="59">
        <v>3601</v>
      </c>
      <c r="J179" s="59"/>
      <c r="K179" s="59"/>
      <c r="L179" s="59"/>
      <c r="M179" s="59"/>
      <c r="N179" s="59"/>
      <c r="O179" s="59"/>
      <c r="P179" s="59"/>
      <c r="Q179" s="59"/>
    </row>
    <row r="180" spans="1:17" ht="12.75" customHeight="1" x14ac:dyDescent="0.2">
      <c r="A180" s="53">
        <v>11</v>
      </c>
      <c r="B180" s="53">
        <v>2022</v>
      </c>
      <c r="C180" s="53" t="str">
        <f t="shared" si="10"/>
        <v>Rent: 1</v>
      </c>
      <c r="D180" s="73" t="s">
        <v>616</v>
      </c>
      <c r="E180" s="53" t="s">
        <v>226</v>
      </c>
      <c r="F180" s="58">
        <v>0</v>
      </c>
      <c r="G180" s="58">
        <v>1800</v>
      </c>
      <c r="H180" s="58">
        <f t="shared" si="11"/>
        <v>150</v>
      </c>
      <c r="I180" s="59">
        <v>3602</v>
      </c>
      <c r="J180" s="59"/>
      <c r="K180" s="59"/>
      <c r="L180" s="59"/>
      <c r="M180" s="59"/>
      <c r="N180" s="59"/>
      <c r="O180" s="59"/>
      <c r="P180" s="59"/>
      <c r="Q180" s="59"/>
    </row>
    <row r="181" spans="1:17" ht="12.75" customHeight="1" x14ac:dyDescent="0.2">
      <c r="A181" s="53">
        <v>11</v>
      </c>
      <c r="B181" s="53">
        <v>2022</v>
      </c>
      <c r="C181" s="53" t="str">
        <f t="shared" si="10"/>
        <v>Income: 1</v>
      </c>
      <c r="D181" s="73" t="s">
        <v>615</v>
      </c>
      <c r="E181" s="53" t="s">
        <v>49</v>
      </c>
      <c r="F181" s="58">
        <v>1800</v>
      </c>
      <c r="G181" s="58">
        <v>0</v>
      </c>
      <c r="H181" s="58">
        <f t="shared" si="11"/>
        <v>-1650</v>
      </c>
      <c r="I181" s="59">
        <v>3603</v>
      </c>
      <c r="J181" s="59"/>
      <c r="K181" s="59"/>
      <c r="L181" s="59"/>
      <c r="M181" s="59"/>
      <c r="N181" s="59"/>
      <c r="O181" s="59"/>
      <c r="P181" s="59"/>
      <c r="Q181" s="59"/>
    </row>
    <row r="182" spans="1:17" ht="12.75" customHeight="1" x14ac:dyDescent="0.2">
      <c r="A182" s="53">
        <v>11</v>
      </c>
      <c r="B182" s="53">
        <v>2022</v>
      </c>
      <c r="C182" s="53" t="str">
        <f t="shared" si="10"/>
        <v>Late Fee 1</v>
      </c>
      <c r="D182" s="73" t="s">
        <v>615</v>
      </c>
      <c r="E182" s="53" t="s">
        <v>50</v>
      </c>
      <c r="F182" s="58">
        <v>0</v>
      </c>
      <c r="G182" s="58">
        <v>55</v>
      </c>
      <c r="H182" s="58">
        <f t="shared" si="11"/>
        <v>-1595</v>
      </c>
      <c r="I182" s="59">
        <v>3604</v>
      </c>
      <c r="J182" s="59"/>
      <c r="K182" s="59"/>
      <c r="L182" s="59"/>
      <c r="M182" s="59"/>
      <c r="N182" s="59"/>
      <c r="O182" s="59"/>
      <c r="P182" s="59"/>
      <c r="Q182" s="59"/>
    </row>
    <row r="183" spans="1:17" ht="12.75" customHeight="1" x14ac:dyDescent="0.2">
      <c r="A183" s="53">
        <v>12</v>
      </c>
      <c r="B183" s="53">
        <v>2022</v>
      </c>
      <c r="C183" s="53" t="str">
        <f t="shared" si="10"/>
        <v>Rent: 1</v>
      </c>
      <c r="D183" s="73" t="s">
        <v>617</v>
      </c>
      <c r="E183" s="53" t="s">
        <v>229</v>
      </c>
      <c r="F183" s="58">
        <v>0</v>
      </c>
      <c r="G183" s="58">
        <v>1850</v>
      </c>
      <c r="H183" s="58">
        <f t="shared" si="11"/>
        <v>255</v>
      </c>
      <c r="I183" s="59">
        <v>3605</v>
      </c>
      <c r="J183" s="59"/>
      <c r="K183" s="59"/>
      <c r="L183" s="59"/>
      <c r="M183" s="59"/>
      <c r="N183" s="59"/>
      <c r="O183" s="59"/>
      <c r="P183" s="59"/>
      <c r="Q183" s="59"/>
    </row>
    <row r="184" spans="1:17" ht="12.75" customHeight="1" x14ac:dyDescent="0.2">
      <c r="A184" s="53">
        <v>1</v>
      </c>
      <c r="B184" s="53">
        <v>2023</v>
      </c>
      <c r="C184" s="53" t="str">
        <f t="shared" si="10"/>
        <v>Income: 1</v>
      </c>
      <c r="D184" s="73" t="s">
        <v>454</v>
      </c>
      <c r="E184" s="53" t="s">
        <v>49</v>
      </c>
      <c r="F184" s="58">
        <v>1850</v>
      </c>
      <c r="G184" s="58">
        <v>0</v>
      </c>
      <c r="H184" s="58">
        <f t="shared" si="11"/>
        <v>-1595</v>
      </c>
      <c r="I184" s="59">
        <v>3606</v>
      </c>
      <c r="J184" s="59"/>
      <c r="K184" s="59"/>
      <c r="L184" s="59"/>
      <c r="M184" s="53"/>
      <c r="N184" s="53"/>
      <c r="O184" s="59"/>
      <c r="P184" s="59"/>
      <c r="Q184" s="59"/>
    </row>
    <row r="185" spans="1:17" ht="12.75" customHeight="1" x14ac:dyDescent="0.2">
      <c r="A185" s="53">
        <v>1</v>
      </c>
      <c r="B185" s="53">
        <v>2023</v>
      </c>
      <c r="C185" s="53" t="str">
        <f t="shared" si="10"/>
        <v>Late Fee 1</v>
      </c>
      <c r="D185" s="73" t="s">
        <v>454</v>
      </c>
      <c r="E185" s="53" t="s">
        <v>50</v>
      </c>
      <c r="F185" s="58">
        <v>0</v>
      </c>
      <c r="G185" s="58">
        <v>55</v>
      </c>
      <c r="H185" s="58">
        <f t="shared" si="11"/>
        <v>-1540</v>
      </c>
      <c r="I185" s="59">
        <v>3607</v>
      </c>
      <c r="J185" s="59"/>
      <c r="K185" s="59"/>
      <c r="L185" s="59"/>
      <c r="M185" s="58"/>
      <c r="N185" s="58"/>
      <c r="O185" s="59"/>
      <c r="P185" s="59"/>
      <c r="Q185" s="59"/>
    </row>
    <row r="186" spans="1:17" ht="12.75" customHeight="1" x14ac:dyDescent="0.2">
      <c r="I186" s="59"/>
      <c r="J186" s="59"/>
      <c r="K186" s="59"/>
      <c r="L186" s="59"/>
      <c r="M186" s="59"/>
      <c r="N186" s="59"/>
      <c r="O186" s="59"/>
      <c r="P186" s="59"/>
      <c r="Q186" s="59"/>
    </row>
    <row r="187" spans="1:17" ht="12.75" customHeight="1" x14ac:dyDescent="0.2">
      <c r="I187" s="59"/>
      <c r="J187" s="59"/>
      <c r="K187" s="59"/>
      <c r="L187" s="59"/>
      <c r="M187" s="59"/>
      <c r="N187" s="59"/>
      <c r="O187" s="59"/>
      <c r="P187" s="59"/>
      <c r="Q187" s="59"/>
    </row>
    <row r="188" spans="1:17" ht="12.75" customHeight="1" x14ac:dyDescent="0.2">
      <c r="I188" s="59"/>
      <c r="J188" s="59"/>
      <c r="K188" s="59"/>
      <c r="L188" s="59"/>
      <c r="M188" s="59"/>
      <c r="N188" s="59"/>
      <c r="O188" s="59"/>
      <c r="P188" s="59"/>
      <c r="Q188" s="59"/>
    </row>
    <row r="189" spans="1:17" ht="12.75" customHeight="1" x14ac:dyDescent="0.2">
      <c r="D189" s="80"/>
    </row>
    <row r="190" spans="1:17" ht="12.75" customHeight="1" x14ac:dyDescent="0.2">
      <c r="A190" s="43"/>
      <c r="B190" s="43"/>
      <c r="C190" s="43"/>
      <c r="D190" s="81"/>
      <c r="E190" s="43"/>
      <c r="F190" s="41"/>
      <c r="G190" s="41"/>
      <c r="H190" s="41"/>
      <c r="I190" s="43"/>
      <c r="J190" s="43"/>
      <c r="K190" s="43"/>
      <c r="L190" s="43"/>
      <c r="M190" s="43"/>
      <c r="N190" s="43"/>
      <c r="O190" s="43"/>
    </row>
    <row r="191" spans="1:17" ht="12.75" customHeight="1" x14ac:dyDescent="0.2">
      <c r="A191" s="43"/>
      <c r="B191" s="43"/>
      <c r="C191" s="43"/>
      <c r="D191" s="81"/>
      <c r="E191" s="43"/>
      <c r="F191" s="41"/>
      <c r="G191" s="41"/>
      <c r="H191" s="41"/>
      <c r="I191" s="43"/>
      <c r="J191" s="43"/>
      <c r="K191" s="43"/>
      <c r="L191" s="43"/>
      <c r="M191" s="43"/>
      <c r="N191" s="43"/>
      <c r="O191" s="43"/>
    </row>
    <row r="192" spans="1:17" ht="12.75" customHeight="1" x14ac:dyDescent="0.2">
      <c r="A192" s="43"/>
      <c r="B192" s="43"/>
      <c r="C192" s="43"/>
      <c r="D192" s="81"/>
      <c r="E192" s="43"/>
      <c r="F192" s="41"/>
      <c r="G192" s="41"/>
      <c r="H192" s="41"/>
      <c r="I192" s="43"/>
      <c r="J192" s="43"/>
      <c r="K192" s="43"/>
      <c r="L192" s="43"/>
      <c r="M192" s="43"/>
      <c r="N192" s="43"/>
      <c r="O192" s="43"/>
    </row>
    <row r="193" spans="1:15" ht="12.75" customHeight="1" x14ac:dyDescent="0.2">
      <c r="A193" s="43"/>
      <c r="B193" s="43"/>
      <c r="C193" s="43"/>
      <c r="D193" s="81"/>
      <c r="E193" s="43"/>
      <c r="F193" s="41"/>
      <c r="G193" s="41"/>
      <c r="H193" s="41"/>
      <c r="I193" s="43"/>
      <c r="J193" s="43"/>
      <c r="K193" s="43"/>
      <c r="L193" s="43"/>
      <c r="M193" s="43"/>
      <c r="N193" s="43"/>
      <c r="O193" s="43"/>
    </row>
    <row r="194" spans="1:15" ht="12.75" customHeight="1" x14ac:dyDescent="0.2">
      <c r="A194" s="43"/>
      <c r="B194" s="43"/>
      <c r="C194" s="43"/>
      <c r="D194" s="81"/>
      <c r="E194" s="43"/>
      <c r="F194" s="41"/>
      <c r="G194" s="41"/>
      <c r="H194" s="41"/>
      <c r="I194" s="43"/>
      <c r="J194" s="43"/>
      <c r="K194" s="43"/>
      <c r="L194" s="43"/>
      <c r="M194" s="43"/>
      <c r="N194" s="43"/>
      <c r="O194" s="43"/>
    </row>
    <row r="195" spans="1:15" ht="12.75" customHeight="1" x14ac:dyDescent="0.2">
      <c r="A195" s="43"/>
      <c r="B195" s="43"/>
      <c r="C195" s="43"/>
      <c r="D195" s="81"/>
      <c r="E195" s="43"/>
      <c r="F195" s="41"/>
      <c r="G195" s="41"/>
      <c r="H195" s="41"/>
      <c r="I195" s="43"/>
      <c r="J195" s="43"/>
      <c r="K195" s="43"/>
      <c r="L195" s="43"/>
      <c r="M195" s="43"/>
      <c r="N195" s="43"/>
      <c r="O195" s="43"/>
    </row>
    <row r="196" spans="1:15" ht="12.75" customHeight="1" x14ac:dyDescent="0.2">
      <c r="A196" s="43"/>
      <c r="B196" s="43"/>
      <c r="C196" s="43"/>
      <c r="D196" s="81"/>
      <c r="E196" s="43"/>
      <c r="F196" s="41"/>
      <c r="G196" s="41"/>
      <c r="H196" s="41"/>
      <c r="I196" s="43"/>
      <c r="J196" s="43"/>
      <c r="K196" s="43"/>
      <c r="L196" s="43"/>
      <c r="M196" s="43"/>
      <c r="N196" s="43"/>
      <c r="O196" s="43"/>
    </row>
    <row r="197" spans="1:15" ht="12.75" customHeight="1" x14ac:dyDescent="0.2">
      <c r="A197" s="43"/>
      <c r="B197" s="43"/>
      <c r="C197" s="43"/>
      <c r="D197" s="81"/>
      <c r="E197" s="43"/>
      <c r="F197" s="41"/>
      <c r="G197" s="41"/>
      <c r="H197" s="41"/>
      <c r="I197" s="43"/>
      <c r="J197" s="43"/>
      <c r="K197" s="43"/>
      <c r="L197" s="43"/>
      <c r="M197" s="43"/>
      <c r="N197" s="43"/>
      <c r="O197" s="43"/>
    </row>
    <row r="198" spans="1:15" ht="12.75" customHeight="1" x14ac:dyDescent="0.2">
      <c r="A198" s="43"/>
      <c r="B198" s="43"/>
      <c r="C198" s="43"/>
      <c r="D198" s="81"/>
      <c r="E198" s="43"/>
      <c r="F198" s="41"/>
      <c r="G198" s="41"/>
      <c r="H198" s="41"/>
      <c r="I198" s="43"/>
      <c r="J198" s="43"/>
      <c r="K198" s="43"/>
      <c r="L198" s="43"/>
      <c r="M198" s="43"/>
      <c r="N198" s="43"/>
      <c r="O198" s="43"/>
    </row>
    <row r="199" spans="1:15" ht="12.75" customHeight="1" x14ac:dyDescent="0.2">
      <c r="A199" s="43"/>
      <c r="B199" s="43"/>
      <c r="C199" s="43"/>
      <c r="D199" s="81"/>
      <c r="E199" s="43"/>
      <c r="F199" s="41"/>
      <c r="G199" s="41"/>
      <c r="H199" s="41"/>
      <c r="I199" s="43"/>
      <c r="J199" s="43"/>
      <c r="K199" s="43"/>
      <c r="L199" s="43"/>
      <c r="M199" s="43"/>
      <c r="N199" s="43"/>
      <c r="O199" s="43"/>
    </row>
    <row r="200" spans="1:15" ht="12.75" customHeight="1" x14ac:dyDescent="0.2">
      <c r="D200" s="80"/>
      <c r="F200" s="31"/>
      <c r="G200" s="31"/>
      <c r="H200" s="31"/>
    </row>
    <row r="201" spans="1:15" ht="12.75" customHeight="1" x14ac:dyDescent="0.2">
      <c r="D201" s="80"/>
      <c r="F201" s="31"/>
      <c r="G201" s="31"/>
      <c r="H201" s="31"/>
    </row>
    <row r="202" spans="1:15" ht="12.75" customHeight="1" x14ac:dyDescent="0.2">
      <c r="D202" s="80"/>
      <c r="F202" s="31"/>
      <c r="G202" s="31"/>
      <c r="H202" s="31"/>
    </row>
    <row r="203" spans="1:15" ht="12.75" customHeight="1" x14ac:dyDescent="0.2">
      <c r="D203" s="80"/>
      <c r="F203" s="31"/>
      <c r="G203" s="31"/>
      <c r="H203" s="31"/>
    </row>
    <row r="204" spans="1:15" ht="12.75" customHeight="1" x14ac:dyDescent="0.2">
      <c r="D204" s="80"/>
      <c r="F204" s="31"/>
      <c r="G204" s="31"/>
      <c r="H204" s="31"/>
    </row>
    <row r="205" spans="1:15" ht="12.75" customHeight="1" x14ac:dyDescent="0.2">
      <c r="D205" s="80"/>
      <c r="F205" s="31"/>
      <c r="G205" s="31"/>
      <c r="H205" s="31"/>
    </row>
    <row r="206" spans="1:15" ht="12.75" customHeight="1" x14ac:dyDescent="0.2">
      <c r="D206" s="80"/>
      <c r="F206" s="31"/>
      <c r="G206" s="31"/>
      <c r="H206" s="31"/>
    </row>
    <row r="207" spans="1:15" ht="12.75" customHeight="1" x14ac:dyDescent="0.2">
      <c r="D207" s="80"/>
      <c r="F207" s="31"/>
      <c r="G207" s="31"/>
      <c r="H207" s="31"/>
    </row>
    <row r="208" spans="1:15" ht="12.75" customHeight="1" x14ac:dyDescent="0.2">
      <c r="D208" s="80"/>
      <c r="F208" s="31"/>
      <c r="G208" s="31"/>
      <c r="H208" s="31"/>
    </row>
    <row r="209" spans="4:8" ht="12.75" customHeight="1" x14ac:dyDescent="0.2">
      <c r="D209" s="80"/>
      <c r="F209" s="31"/>
      <c r="G209" s="31"/>
      <c r="H209" s="31"/>
    </row>
    <row r="210" spans="4:8" ht="12.75" customHeight="1" x14ac:dyDescent="0.2">
      <c r="D210" s="80"/>
      <c r="F210" s="31"/>
      <c r="G210" s="31"/>
      <c r="H210" s="31"/>
    </row>
    <row r="211" spans="4:8" ht="12.75" customHeight="1" x14ac:dyDescent="0.2">
      <c r="D211" s="80"/>
      <c r="F211" s="31"/>
      <c r="G211" s="31"/>
      <c r="H211" s="31"/>
    </row>
    <row r="212" spans="4:8" ht="12.75" customHeight="1" x14ac:dyDescent="0.2">
      <c r="D212" s="80"/>
      <c r="F212" s="31"/>
      <c r="G212" s="31"/>
      <c r="H212" s="31"/>
    </row>
    <row r="213" spans="4:8" ht="12.75" customHeight="1" x14ac:dyDescent="0.2">
      <c r="D213" s="80"/>
      <c r="F213" s="31"/>
      <c r="G213" s="31"/>
      <c r="H213" s="31"/>
    </row>
    <row r="214" spans="4:8" ht="12.75" customHeight="1" x14ac:dyDescent="0.2">
      <c r="D214" s="80"/>
      <c r="F214" s="31"/>
      <c r="G214" s="31"/>
      <c r="H214" s="31"/>
    </row>
    <row r="215" spans="4:8" ht="12.75" customHeight="1" x14ac:dyDescent="0.2">
      <c r="D215" s="80"/>
      <c r="F215" s="31"/>
      <c r="G215" s="31"/>
      <c r="H215" s="31"/>
    </row>
    <row r="216" spans="4:8" ht="12.75" customHeight="1" x14ac:dyDescent="0.2">
      <c r="D216" s="80"/>
      <c r="F216" s="31"/>
      <c r="G216" s="31"/>
      <c r="H216" s="31"/>
    </row>
    <row r="217" spans="4:8" ht="12.75" customHeight="1" x14ac:dyDescent="0.2">
      <c r="D217" s="80"/>
      <c r="F217" s="31"/>
      <c r="G217" s="31"/>
      <c r="H217" s="31"/>
    </row>
    <row r="218" spans="4:8" ht="12.75" customHeight="1" x14ac:dyDescent="0.2">
      <c r="D218" s="80"/>
      <c r="F218" s="31"/>
      <c r="G218" s="31"/>
      <c r="H218" s="31"/>
    </row>
    <row r="219" spans="4:8" ht="12.75" customHeight="1" x14ac:dyDescent="0.2">
      <c r="D219" s="80"/>
      <c r="F219" s="31"/>
      <c r="G219" s="31"/>
      <c r="H219" s="31"/>
    </row>
    <row r="220" spans="4:8" ht="12.75" customHeight="1" x14ac:dyDescent="0.2">
      <c r="D220" s="80"/>
      <c r="F220" s="31"/>
      <c r="G220" s="31"/>
      <c r="H220" s="31"/>
    </row>
    <row r="221" spans="4:8" ht="12.75" customHeight="1" x14ac:dyDescent="0.2">
      <c r="D221" s="80"/>
      <c r="F221" s="31"/>
      <c r="G221" s="31"/>
      <c r="H221" s="31"/>
    </row>
    <row r="222" spans="4:8" ht="12.75" customHeight="1" x14ac:dyDescent="0.2">
      <c r="D222" s="80"/>
      <c r="F222" s="31"/>
      <c r="G222" s="31"/>
      <c r="H222" s="31"/>
    </row>
    <row r="223" spans="4:8" ht="12.75" customHeight="1" x14ac:dyDescent="0.2">
      <c r="D223" s="80"/>
      <c r="F223" s="31"/>
      <c r="G223" s="31"/>
      <c r="H223" s="31"/>
    </row>
    <row r="224" spans="4:8" ht="12.75" customHeight="1" x14ac:dyDescent="0.2">
      <c r="D224" s="80"/>
      <c r="F224" s="31"/>
      <c r="G224" s="31"/>
      <c r="H224" s="31"/>
    </row>
    <row r="225" spans="4:8" ht="12.75" customHeight="1" x14ac:dyDescent="0.2">
      <c r="D225" s="80"/>
      <c r="F225" s="31"/>
      <c r="G225" s="31"/>
      <c r="H225" s="31"/>
    </row>
    <row r="226" spans="4:8" ht="12.75" customHeight="1" x14ac:dyDescent="0.2">
      <c r="D226" s="80"/>
      <c r="F226" s="31"/>
      <c r="G226" s="31"/>
      <c r="H226" s="31"/>
    </row>
    <row r="227" spans="4:8" ht="12.75" customHeight="1" x14ac:dyDescent="0.2">
      <c r="D227" s="80"/>
      <c r="F227" s="31"/>
      <c r="G227" s="31"/>
      <c r="H227" s="31"/>
    </row>
    <row r="228" spans="4:8" ht="12.75" customHeight="1" x14ac:dyDescent="0.2">
      <c r="D228" s="80"/>
      <c r="F228" s="31"/>
      <c r="G228" s="31"/>
      <c r="H228" s="31"/>
    </row>
    <row r="229" spans="4:8" ht="12.75" customHeight="1" x14ac:dyDescent="0.2">
      <c r="D229" s="80"/>
      <c r="F229" s="31"/>
      <c r="G229" s="31"/>
      <c r="H229" s="31"/>
    </row>
    <row r="230" spans="4:8" ht="12.75" customHeight="1" x14ac:dyDescent="0.2">
      <c r="D230" s="80"/>
      <c r="F230" s="31"/>
      <c r="G230" s="31"/>
      <c r="H230" s="31"/>
    </row>
    <row r="231" spans="4:8" ht="12.75" customHeight="1" x14ac:dyDescent="0.2">
      <c r="D231" s="80"/>
      <c r="F231" s="31"/>
      <c r="G231" s="31"/>
      <c r="H231" s="31"/>
    </row>
    <row r="232" spans="4:8" ht="12.75" customHeight="1" x14ac:dyDescent="0.2">
      <c r="D232" s="80"/>
      <c r="F232" s="31"/>
      <c r="G232" s="31"/>
      <c r="H232" s="31"/>
    </row>
    <row r="233" spans="4:8" ht="12.75" customHeight="1" x14ac:dyDescent="0.2">
      <c r="D233" s="80"/>
      <c r="F233" s="31"/>
      <c r="G233" s="31"/>
      <c r="H233" s="31"/>
    </row>
    <row r="234" spans="4:8" ht="12.75" customHeight="1" x14ac:dyDescent="0.2">
      <c r="D234" s="80"/>
      <c r="F234" s="31"/>
      <c r="G234" s="31"/>
      <c r="H234" s="31"/>
    </row>
    <row r="235" spans="4:8" ht="12.75" customHeight="1" x14ac:dyDescent="0.2">
      <c r="D235" s="80"/>
      <c r="F235" s="31"/>
      <c r="G235" s="31"/>
      <c r="H235" s="31"/>
    </row>
    <row r="236" spans="4:8" ht="12.75" customHeight="1" x14ac:dyDescent="0.2">
      <c r="D236" s="80"/>
      <c r="F236" s="31"/>
      <c r="G236" s="31"/>
      <c r="H236" s="31"/>
    </row>
    <row r="237" spans="4:8" ht="12.75" customHeight="1" x14ac:dyDescent="0.2">
      <c r="D237" s="80"/>
      <c r="F237" s="31"/>
      <c r="G237" s="31"/>
      <c r="H237" s="31"/>
    </row>
    <row r="238" spans="4:8" ht="12.75" customHeight="1" x14ac:dyDescent="0.2">
      <c r="D238" s="80"/>
      <c r="F238" s="31"/>
      <c r="G238" s="31"/>
      <c r="H238" s="31"/>
    </row>
    <row r="239" spans="4:8" ht="12.75" customHeight="1" x14ac:dyDescent="0.2">
      <c r="D239" s="80"/>
      <c r="F239" s="31"/>
      <c r="G239" s="31"/>
      <c r="H239" s="31"/>
    </row>
    <row r="240" spans="4:8" ht="12.75" customHeight="1" x14ac:dyDescent="0.2">
      <c r="D240" s="80"/>
      <c r="F240" s="31"/>
      <c r="G240" s="31"/>
      <c r="H240" s="31"/>
    </row>
    <row r="241" spans="4:8" ht="12.75" customHeight="1" x14ac:dyDescent="0.2">
      <c r="D241" s="80"/>
      <c r="F241" s="31"/>
      <c r="G241" s="31"/>
      <c r="H241" s="31"/>
    </row>
    <row r="242" spans="4:8" ht="12.75" customHeight="1" x14ac:dyDescent="0.2">
      <c r="D242" s="80"/>
      <c r="F242" s="31"/>
      <c r="G242" s="31"/>
      <c r="H242" s="31"/>
    </row>
    <row r="243" spans="4:8" ht="12.75" customHeight="1" x14ac:dyDescent="0.2">
      <c r="D243" s="80"/>
      <c r="F243" s="31"/>
      <c r="G243" s="31"/>
      <c r="H243" s="31"/>
    </row>
    <row r="244" spans="4:8" ht="12.75" customHeight="1" x14ac:dyDescent="0.2">
      <c r="D244" s="80"/>
      <c r="F244" s="31"/>
      <c r="G244" s="31"/>
      <c r="H244" s="31"/>
    </row>
    <row r="245" spans="4:8" ht="12.75" customHeight="1" x14ac:dyDescent="0.2">
      <c r="D245" s="80"/>
      <c r="F245" s="31"/>
      <c r="G245" s="31"/>
      <c r="H245" s="31"/>
    </row>
    <row r="246" spans="4:8" ht="12.75" customHeight="1" x14ac:dyDescent="0.2">
      <c r="D246" s="80"/>
      <c r="F246" s="31"/>
      <c r="G246" s="31"/>
      <c r="H246" s="31"/>
    </row>
    <row r="247" spans="4:8" ht="12.75" customHeight="1" x14ac:dyDescent="0.2">
      <c r="D247" s="80"/>
      <c r="F247" s="31"/>
      <c r="G247" s="31"/>
      <c r="H247" s="31"/>
    </row>
    <row r="248" spans="4:8" ht="12.75" customHeight="1" x14ac:dyDescent="0.2">
      <c r="D248" s="80"/>
      <c r="F248" s="31"/>
      <c r="G248" s="31"/>
      <c r="H248" s="31"/>
    </row>
    <row r="249" spans="4:8" ht="12.75" customHeight="1" x14ac:dyDescent="0.2">
      <c r="D249" s="80"/>
      <c r="F249" s="31"/>
      <c r="G249" s="31"/>
      <c r="H249" s="31"/>
    </row>
    <row r="250" spans="4:8" ht="12.75" customHeight="1" x14ac:dyDescent="0.2">
      <c r="D250" s="80"/>
      <c r="F250" s="31"/>
      <c r="G250" s="31"/>
      <c r="H250" s="31"/>
    </row>
    <row r="251" spans="4:8" ht="12.75" customHeight="1" x14ac:dyDescent="0.2">
      <c r="D251" s="80"/>
      <c r="F251" s="31"/>
      <c r="G251" s="31"/>
      <c r="H251" s="31"/>
    </row>
    <row r="252" spans="4:8" ht="12.75" customHeight="1" x14ac:dyDescent="0.2">
      <c r="D252" s="80"/>
      <c r="F252" s="31"/>
      <c r="G252" s="31"/>
      <c r="H252" s="31"/>
    </row>
    <row r="253" spans="4:8" ht="12.75" customHeight="1" x14ac:dyDescent="0.2">
      <c r="D253" s="80"/>
      <c r="F253" s="31"/>
      <c r="G253" s="31"/>
      <c r="H253" s="31"/>
    </row>
    <row r="254" spans="4:8" ht="12.75" customHeight="1" x14ac:dyDescent="0.2">
      <c r="D254" s="80"/>
      <c r="F254" s="31"/>
      <c r="G254" s="31"/>
      <c r="H254" s="31"/>
    </row>
    <row r="255" spans="4:8" ht="12.75" customHeight="1" x14ac:dyDescent="0.2">
      <c r="D255" s="80"/>
      <c r="F255" s="31"/>
      <c r="G255" s="31"/>
      <c r="H255" s="31"/>
    </row>
    <row r="256" spans="4:8" ht="12.75" customHeight="1" x14ac:dyDescent="0.2">
      <c r="D256" s="80"/>
      <c r="F256" s="31"/>
      <c r="G256" s="31"/>
      <c r="H256" s="31"/>
    </row>
    <row r="257" spans="4:8" ht="12.75" customHeight="1" x14ac:dyDescent="0.2">
      <c r="D257" s="80"/>
      <c r="F257" s="31"/>
      <c r="G257" s="31"/>
      <c r="H257" s="31"/>
    </row>
    <row r="258" spans="4:8" ht="12.75" customHeight="1" x14ac:dyDescent="0.2">
      <c r="D258" s="80"/>
      <c r="F258" s="31"/>
      <c r="G258" s="31"/>
      <c r="H258" s="31"/>
    </row>
    <row r="259" spans="4:8" ht="12.75" customHeight="1" x14ac:dyDescent="0.2">
      <c r="D259" s="80"/>
      <c r="F259" s="31"/>
      <c r="G259" s="31"/>
      <c r="H259" s="31"/>
    </row>
    <row r="260" spans="4:8" ht="12.75" customHeight="1" x14ac:dyDescent="0.2">
      <c r="D260" s="80"/>
      <c r="F260" s="31"/>
      <c r="G260" s="31"/>
      <c r="H260" s="31"/>
    </row>
    <row r="261" spans="4:8" ht="12.75" customHeight="1" x14ac:dyDescent="0.2">
      <c r="D261" s="80"/>
      <c r="F261" s="31"/>
      <c r="G261" s="31"/>
      <c r="H261" s="31"/>
    </row>
    <row r="262" spans="4:8" ht="12.75" customHeight="1" x14ac:dyDescent="0.2">
      <c r="D262" s="80"/>
      <c r="F262" s="31"/>
      <c r="G262" s="31"/>
      <c r="H262" s="31"/>
    </row>
    <row r="263" spans="4:8" ht="12.75" customHeight="1" x14ac:dyDescent="0.2">
      <c r="D263" s="80"/>
      <c r="F263" s="31"/>
      <c r="G263" s="31"/>
      <c r="H263" s="31"/>
    </row>
    <row r="264" spans="4:8" ht="12.75" customHeight="1" x14ac:dyDescent="0.2">
      <c r="D264" s="80"/>
      <c r="F264" s="31"/>
      <c r="G264" s="31"/>
      <c r="H264" s="31"/>
    </row>
    <row r="265" spans="4:8" ht="12.75" customHeight="1" x14ac:dyDescent="0.2">
      <c r="D265" s="80"/>
      <c r="F265" s="31"/>
      <c r="G265" s="31"/>
      <c r="H265" s="31"/>
    </row>
    <row r="266" spans="4:8" ht="12.75" customHeight="1" x14ac:dyDescent="0.2">
      <c r="D266" s="80"/>
      <c r="F266" s="31"/>
      <c r="G266" s="31"/>
      <c r="H266" s="31"/>
    </row>
    <row r="267" spans="4:8" ht="12.75" customHeight="1" x14ac:dyDescent="0.2">
      <c r="D267" s="80"/>
      <c r="F267" s="31"/>
      <c r="G267" s="31"/>
      <c r="H267" s="31"/>
    </row>
    <row r="268" spans="4:8" ht="12.75" customHeight="1" x14ac:dyDescent="0.2">
      <c r="D268" s="80"/>
      <c r="F268" s="31"/>
      <c r="G268" s="31"/>
      <c r="H268" s="31"/>
    </row>
    <row r="269" spans="4:8" ht="12.75" customHeight="1" x14ac:dyDescent="0.2">
      <c r="D269" s="80"/>
      <c r="F269" s="31"/>
      <c r="G269" s="31"/>
      <c r="H269" s="31"/>
    </row>
    <row r="270" spans="4:8" ht="12.75" customHeight="1" x14ac:dyDescent="0.2">
      <c r="D270" s="80"/>
      <c r="F270" s="31"/>
      <c r="G270" s="31"/>
      <c r="H270" s="31"/>
    </row>
    <row r="271" spans="4:8" ht="12.75" customHeight="1" x14ac:dyDescent="0.2">
      <c r="D271" s="80"/>
      <c r="F271" s="31"/>
      <c r="G271" s="31"/>
      <c r="H271" s="31"/>
    </row>
    <row r="272" spans="4:8" ht="12.75" customHeight="1" x14ac:dyDescent="0.2">
      <c r="D272" s="80"/>
      <c r="F272" s="31"/>
      <c r="G272" s="31"/>
      <c r="H272" s="31"/>
    </row>
    <row r="273" spans="4:8" ht="12.75" customHeight="1" x14ac:dyDescent="0.2">
      <c r="D273" s="80"/>
      <c r="F273" s="31"/>
      <c r="G273" s="31"/>
      <c r="H273" s="31"/>
    </row>
    <row r="274" spans="4:8" ht="12.75" customHeight="1" x14ac:dyDescent="0.2">
      <c r="D274" s="80"/>
      <c r="F274" s="31"/>
      <c r="G274" s="31"/>
      <c r="H274" s="31"/>
    </row>
    <row r="275" spans="4:8" ht="12.75" customHeight="1" x14ac:dyDescent="0.2">
      <c r="D275" s="80"/>
      <c r="F275" s="31"/>
      <c r="G275" s="31"/>
      <c r="H275" s="31"/>
    </row>
    <row r="276" spans="4:8" ht="12.75" customHeight="1" x14ac:dyDescent="0.2">
      <c r="D276" s="80"/>
      <c r="F276" s="31"/>
      <c r="G276" s="31"/>
      <c r="H276" s="31"/>
    </row>
    <row r="277" spans="4:8" ht="12.75" customHeight="1" x14ac:dyDescent="0.2">
      <c r="D277" s="80"/>
      <c r="F277" s="31"/>
      <c r="G277" s="31"/>
      <c r="H277" s="31"/>
    </row>
    <row r="278" spans="4:8" ht="12.75" customHeight="1" x14ac:dyDescent="0.2">
      <c r="D278" s="80"/>
      <c r="F278" s="31"/>
      <c r="G278" s="31"/>
      <c r="H278" s="31"/>
    </row>
    <row r="279" spans="4:8" ht="12.75" customHeight="1" x14ac:dyDescent="0.2">
      <c r="D279" s="80"/>
      <c r="F279" s="31"/>
      <c r="G279" s="31"/>
      <c r="H279" s="31"/>
    </row>
    <row r="280" spans="4:8" ht="12.75" customHeight="1" x14ac:dyDescent="0.2">
      <c r="D280" s="80"/>
      <c r="F280" s="31"/>
      <c r="G280" s="31"/>
      <c r="H280" s="31"/>
    </row>
    <row r="281" spans="4:8" ht="12.75" customHeight="1" x14ac:dyDescent="0.2">
      <c r="D281" s="80"/>
      <c r="F281" s="31"/>
      <c r="G281" s="31"/>
      <c r="H281" s="31"/>
    </row>
    <row r="282" spans="4:8" ht="12.75" customHeight="1" x14ac:dyDescent="0.2">
      <c r="D282" s="80"/>
      <c r="F282" s="31"/>
      <c r="G282" s="31"/>
      <c r="H282" s="31"/>
    </row>
    <row r="283" spans="4:8" ht="12.75" customHeight="1" x14ac:dyDescent="0.2">
      <c r="D283" s="80"/>
      <c r="F283" s="31"/>
      <c r="G283" s="31"/>
      <c r="H283" s="31"/>
    </row>
    <row r="284" spans="4:8" ht="12.75" customHeight="1" x14ac:dyDescent="0.2">
      <c r="D284" s="80"/>
      <c r="F284" s="31"/>
      <c r="G284" s="31"/>
      <c r="H284" s="31"/>
    </row>
    <row r="285" spans="4:8" ht="12.75" customHeight="1" x14ac:dyDescent="0.2">
      <c r="D285" s="80"/>
      <c r="F285" s="31"/>
      <c r="G285" s="31"/>
      <c r="H285" s="31"/>
    </row>
    <row r="286" spans="4:8" ht="12.75" customHeight="1" x14ac:dyDescent="0.2">
      <c r="D286" s="80"/>
      <c r="F286" s="31"/>
      <c r="G286" s="31"/>
      <c r="H286" s="31"/>
    </row>
    <row r="287" spans="4:8" ht="12.75" customHeight="1" x14ac:dyDescent="0.2">
      <c r="D287" s="80"/>
      <c r="F287" s="31"/>
      <c r="G287" s="31"/>
      <c r="H287" s="31"/>
    </row>
    <row r="288" spans="4:8" ht="12.75" customHeight="1" x14ac:dyDescent="0.2">
      <c r="D288" s="80"/>
      <c r="F288" s="31"/>
      <c r="G288" s="31"/>
      <c r="H288" s="31"/>
    </row>
    <row r="289" spans="4:8" ht="12.75" customHeight="1" x14ac:dyDescent="0.2">
      <c r="D289" s="80"/>
      <c r="F289" s="31"/>
      <c r="G289" s="31"/>
      <c r="H289" s="31"/>
    </row>
    <row r="290" spans="4:8" ht="12.75" customHeight="1" x14ac:dyDescent="0.2">
      <c r="D290" s="80"/>
      <c r="F290" s="31"/>
      <c r="G290" s="31"/>
      <c r="H290" s="31"/>
    </row>
    <row r="291" spans="4:8" ht="12.75" customHeight="1" x14ac:dyDescent="0.2">
      <c r="D291" s="80"/>
      <c r="F291" s="31"/>
      <c r="G291" s="31"/>
      <c r="H291" s="31"/>
    </row>
    <row r="292" spans="4:8" ht="12.75" customHeight="1" x14ac:dyDescent="0.2">
      <c r="D292" s="80"/>
      <c r="F292" s="31"/>
      <c r="G292" s="31"/>
      <c r="H292" s="31"/>
    </row>
    <row r="293" spans="4:8" ht="12.75" customHeight="1" x14ac:dyDescent="0.2">
      <c r="D293" s="80"/>
      <c r="F293" s="31"/>
      <c r="G293" s="31"/>
      <c r="H293" s="31"/>
    </row>
    <row r="294" spans="4:8" ht="12.75" customHeight="1" x14ac:dyDescent="0.2">
      <c r="D294" s="80"/>
      <c r="F294" s="31"/>
      <c r="G294" s="31"/>
      <c r="H294" s="31"/>
    </row>
    <row r="295" spans="4:8" ht="12.75" customHeight="1" x14ac:dyDescent="0.2">
      <c r="D295" s="80"/>
      <c r="F295" s="31"/>
      <c r="G295" s="31"/>
      <c r="H295" s="31"/>
    </row>
    <row r="296" spans="4:8" ht="12.75" customHeight="1" x14ac:dyDescent="0.2">
      <c r="D296" s="80"/>
      <c r="F296" s="31"/>
      <c r="G296" s="31"/>
      <c r="H296" s="31"/>
    </row>
    <row r="297" spans="4:8" ht="12.75" customHeight="1" x14ac:dyDescent="0.2">
      <c r="D297" s="80"/>
      <c r="F297" s="31"/>
      <c r="G297" s="31"/>
      <c r="H297" s="31"/>
    </row>
    <row r="298" spans="4:8" ht="12.75" customHeight="1" x14ac:dyDescent="0.2">
      <c r="D298" s="80"/>
      <c r="F298" s="31"/>
      <c r="G298" s="31"/>
      <c r="H298" s="31"/>
    </row>
    <row r="299" spans="4:8" ht="12.75" customHeight="1" x14ac:dyDescent="0.2">
      <c r="D299" s="80"/>
      <c r="F299" s="31"/>
      <c r="G299" s="31"/>
      <c r="H299" s="31"/>
    </row>
    <row r="300" spans="4:8" ht="12.75" customHeight="1" x14ac:dyDescent="0.2">
      <c r="D300" s="80"/>
      <c r="F300" s="31"/>
      <c r="G300" s="31"/>
      <c r="H300" s="31"/>
    </row>
    <row r="301" spans="4:8" ht="12.75" customHeight="1" x14ac:dyDescent="0.2">
      <c r="D301" s="80"/>
      <c r="F301" s="31"/>
      <c r="G301" s="31"/>
      <c r="H301" s="31"/>
    </row>
    <row r="302" spans="4:8" ht="12.75" customHeight="1" x14ac:dyDescent="0.2">
      <c r="D302" s="80"/>
      <c r="F302" s="31"/>
      <c r="G302" s="31"/>
      <c r="H302" s="31"/>
    </row>
    <row r="303" spans="4:8" ht="12.75" customHeight="1" x14ac:dyDescent="0.2">
      <c r="D303" s="80"/>
      <c r="F303" s="31"/>
      <c r="G303" s="31"/>
      <c r="H303" s="31"/>
    </row>
    <row r="304" spans="4:8" ht="12.75" customHeight="1" x14ac:dyDescent="0.2">
      <c r="D304" s="80"/>
      <c r="F304" s="31"/>
      <c r="G304" s="31"/>
      <c r="H304" s="31"/>
    </row>
    <row r="305" spans="4:8" ht="12.75" customHeight="1" x14ac:dyDescent="0.2">
      <c r="D305" s="80"/>
      <c r="F305" s="31"/>
      <c r="G305" s="31"/>
      <c r="H305" s="31"/>
    </row>
    <row r="306" spans="4:8" ht="12.75" customHeight="1" x14ac:dyDescent="0.2">
      <c r="D306" s="80"/>
      <c r="F306" s="31"/>
      <c r="G306" s="31"/>
      <c r="H306" s="31"/>
    </row>
    <row r="307" spans="4:8" ht="12.75" customHeight="1" x14ac:dyDescent="0.2">
      <c r="D307" s="80"/>
      <c r="F307" s="31"/>
      <c r="G307" s="31"/>
      <c r="H307" s="31"/>
    </row>
    <row r="308" spans="4:8" ht="12.75" customHeight="1" x14ac:dyDescent="0.2">
      <c r="D308" s="80"/>
      <c r="F308" s="31"/>
      <c r="G308" s="31"/>
      <c r="H308" s="31"/>
    </row>
    <row r="309" spans="4:8" ht="12.75" customHeight="1" x14ac:dyDescent="0.2">
      <c r="D309" s="80"/>
      <c r="F309" s="31"/>
      <c r="G309" s="31"/>
      <c r="H309" s="31"/>
    </row>
    <row r="310" spans="4:8" ht="12.75" customHeight="1" x14ac:dyDescent="0.2">
      <c r="D310" s="80"/>
      <c r="F310" s="31"/>
      <c r="G310" s="31"/>
      <c r="H310" s="31"/>
    </row>
    <row r="311" spans="4:8" ht="12.75" customHeight="1" x14ac:dyDescent="0.2">
      <c r="D311" s="80"/>
      <c r="F311" s="31"/>
      <c r="G311" s="31"/>
      <c r="H311" s="31"/>
    </row>
    <row r="312" spans="4:8" ht="12.75" customHeight="1" x14ac:dyDescent="0.2">
      <c r="D312" s="80"/>
      <c r="F312" s="31"/>
      <c r="G312" s="31"/>
      <c r="H312" s="31"/>
    </row>
    <row r="313" spans="4:8" ht="12.75" customHeight="1" x14ac:dyDescent="0.2">
      <c r="D313" s="80"/>
      <c r="F313" s="31"/>
      <c r="G313" s="31"/>
      <c r="H313" s="31"/>
    </row>
    <row r="314" spans="4:8" ht="12.75" customHeight="1" x14ac:dyDescent="0.2">
      <c r="D314" s="80"/>
      <c r="F314" s="31"/>
      <c r="G314" s="31"/>
      <c r="H314" s="31"/>
    </row>
    <row r="315" spans="4:8" ht="12.75" customHeight="1" x14ac:dyDescent="0.2">
      <c r="D315" s="80"/>
      <c r="F315" s="31"/>
      <c r="G315" s="31"/>
      <c r="H315" s="31"/>
    </row>
    <row r="316" spans="4:8" ht="12.75" customHeight="1" x14ac:dyDescent="0.2">
      <c r="D316" s="80"/>
      <c r="F316" s="31"/>
      <c r="G316" s="31"/>
      <c r="H316" s="31"/>
    </row>
    <row r="317" spans="4:8" ht="12.75" customHeight="1" x14ac:dyDescent="0.2">
      <c r="D317" s="80"/>
      <c r="F317" s="31"/>
      <c r="G317" s="31"/>
      <c r="H317" s="31"/>
    </row>
    <row r="318" spans="4:8" ht="12.75" customHeight="1" x14ac:dyDescent="0.2">
      <c r="D318" s="80"/>
      <c r="F318" s="31"/>
      <c r="G318" s="31"/>
      <c r="H318" s="31"/>
    </row>
    <row r="319" spans="4:8" ht="12.75" customHeight="1" x14ac:dyDescent="0.2">
      <c r="D319" s="80"/>
      <c r="F319" s="31"/>
      <c r="G319" s="31"/>
      <c r="H319" s="31"/>
    </row>
    <row r="320" spans="4:8" ht="12.75" customHeight="1" x14ac:dyDescent="0.2">
      <c r="D320" s="80"/>
      <c r="F320" s="31"/>
      <c r="G320" s="31"/>
      <c r="H320" s="31"/>
    </row>
    <row r="321" spans="4:8" ht="12.75" customHeight="1" x14ac:dyDescent="0.2">
      <c r="D321" s="80"/>
      <c r="F321" s="31"/>
      <c r="G321" s="31"/>
      <c r="H321" s="31"/>
    </row>
    <row r="322" spans="4:8" ht="12.75" customHeight="1" x14ac:dyDescent="0.2">
      <c r="D322" s="80"/>
      <c r="F322" s="31"/>
      <c r="G322" s="31"/>
      <c r="H322" s="31"/>
    </row>
    <row r="323" spans="4:8" ht="12.75" customHeight="1" x14ac:dyDescent="0.2">
      <c r="D323" s="80"/>
      <c r="F323" s="31"/>
      <c r="G323" s="31"/>
      <c r="H323" s="31"/>
    </row>
    <row r="324" spans="4:8" ht="12.75" customHeight="1" x14ac:dyDescent="0.2">
      <c r="D324" s="80"/>
      <c r="F324" s="31"/>
      <c r="G324" s="31"/>
      <c r="H324" s="31"/>
    </row>
    <row r="325" spans="4:8" ht="12.75" customHeight="1" x14ac:dyDescent="0.2">
      <c r="D325" s="80"/>
      <c r="F325" s="31"/>
      <c r="G325" s="31"/>
      <c r="H325" s="31"/>
    </row>
    <row r="326" spans="4:8" ht="12.75" customHeight="1" x14ac:dyDescent="0.2">
      <c r="D326" s="80"/>
      <c r="F326" s="31"/>
      <c r="G326" s="31"/>
      <c r="H326" s="31"/>
    </row>
    <row r="327" spans="4:8" ht="12.75" customHeight="1" x14ac:dyDescent="0.2">
      <c r="D327" s="80"/>
      <c r="F327" s="31"/>
      <c r="G327" s="31"/>
      <c r="H327" s="31"/>
    </row>
    <row r="328" spans="4:8" ht="12.75" customHeight="1" x14ac:dyDescent="0.2">
      <c r="D328" s="80"/>
      <c r="F328" s="31"/>
      <c r="G328" s="31"/>
      <c r="H328" s="31"/>
    </row>
    <row r="329" spans="4:8" ht="12.75" customHeight="1" x14ac:dyDescent="0.2">
      <c r="D329" s="80"/>
      <c r="F329" s="31"/>
      <c r="G329" s="31"/>
      <c r="H329" s="31"/>
    </row>
    <row r="330" spans="4:8" ht="12.75" customHeight="1" x14ac:dyDescent="0.2">
      <c r="D330" s="80"/>
      <c r="F330" s="31"/>
      <c r="G330" s="31"/>
      <c r="H330" s="31"/>
    </row>
    <row r="331" spans="4:8" ht="12.75" customHeight="1" x14ac:dyDescent="0.2">
      <c r="D331" s="80"/>
      <c r="F331" s="31"/>
      <c r="G331" s="31"/>
      <c r="H331" s="31"/>
    </row>
    <row r="332" spans="4:8" ht="12.75" customHeight="1" x14ac:dyDescent="0.2">
      <c r="D332" s="80"/>
      <c r="F332" s="31"/>
      <c r="G332" s="31"/>
      <c r="H332" s="31"/>
    </row>
    <row r="333" spans="4:8" ht="12.75" customHeight="1" x14ac:dyDescent="0.2">
      <c r="D333" s="80"/>
      <c r="F333" s="31"/>
      <c r="G333" s="31"/>
      <c r="H333" s="31"/>
    </row>
    <row r="334" spans="4:8" ht="12.75" customHeight="1" x14ac:dyDescent="0.2">
      <c r="D334" s="80"/>
      <c r="F334" s="31"/>
      <c r="G334" s="31"/>
      <c r="H334" s="31"/>
    </row>
    <row r="335" spans="4:8" ht="12.75" customHeight="1" x14ac:dyDescent="0.2">
      <c r="D335" s="80"/>
      <c r="F335" s="31"/>
      <c r="G335" s="31"/>
      <c r="H335" s="31"/>
    </row>
    <row r="336" spans="4:8" ht="12.75" customHeight="1" x14ac:dyDescent="0.2">
      <c r="D336" s="80"/>
      <c r="F336" s="31"/>
      <c r="G336" s="31"/>
      <c r="H336" s="31"/>
    </row>
    <row r="337" spans="4:8" ht="12.75" customHeight="1" x14ac:dyDescent="0.2">
      <c r="D337" s="80"/>
      <c r="F337" s="31"/>
      <c r="G337" s="31"/>
      <c r="H337" s="31"/>
    </row>
    <row r="338" spans="4:8" ht="12.75" customHeight="1" x14ac:dyDescent="0.2">
      <c r="D338" s="80"/>
      <c r="F338" s="31"/>
      <c r="G338" s="31"/>
      <c r="H338" s="31"/>
    </row>
    <row r="339" spans="4:8" ht="12.75" customHeight="1" x14ac:dyDescent="0.2">
      <c r="D339" s="80"/>
      <c r="F339" s="31"/>
      <c r="G339" s="31"/>
      <c r="H339" s="31"/>
    </row>
    <row r="340" spans="4:8" ht="12.75" customHeight="1" x14ac:dyDescent="0.2">
      <c r="D340" s="80"/>
      <c r="F340" s="31"/>
      <c r="G340" s="31"/>
      <c r="H340" s="31"/>
    </row>
    <row r="341" spans="4:8" ht="12.75" customHeight="1" x14ac:dyDescent="0.2">
      <c r="F341" s="31"/>
      <c r="G341" s="31"/>
      <c r="H341" s="31"/>
    </row>
    <row r="342" spans="4:8" ht="12.75" customHeight="1" x14ac:dyDescent="0.2">
      <c r="F342" s="31"/>
      <c r="G342" s="31"/>
      <c r="H342" s="31"/>
    </row>
    <row r="343" spans="4:8" ht="12.75" customHeight="1" x14ac:dyDescent="0.2">
      <c r="F343" s="31"/>
      <c r="G343" s="31"/>
      <c r="H343" s="31"/>
    </row>
    <row r="344" spans="4:8" ht="12.75" customHeight="1" x14ac:dyDescent="0.2">
      <c r="F344" s="31"/>
      <c r="G344" s="31"/>
      <c r="H344" s="31"/>
    </row>
    <row r="345" spans="4:8" ht="12.75" customHeight="1" x14ac:dyDescent="0.2">
      <c r="F345" s="31"/>
      <c r="G345" s="31"/>
      <c r="H345" s="31"/>
    </row>
    <row r="346" spans="4:8" ht="12.75" customHeight="1" x14ac:dyDescent="0.2">
      <c r="F346" s="31"/>
      <c r="G346" s="31"/>
      <c r="H346" s="31"/>
    </row>
    <row r="347" spans="4:8" ht="12.75" customHeight="1" x14ac:dyDescent="0.2">
      <c r="F347" s="31"/>
      <c r="G347" s="31"/>
      <c r="H347" s="31"/>
    </row>
    <row r="348" spans="4:8" ht="12.75" customHeight="1" x14ac:dyDescent="0.2">
      <c r="F348" s="31"/>
      <c r="G348" s="31"/>
      <c r="H348" s="31"/>
    </row>
    <row r="349" spans="4:8" ht="12.75" customHeight="1" x14ac:dyDescent="0.2">
      <c r="F349" s="31"/>
      <c r="G349" s="31"/>
      <c r="H349" s="31"/>
    </row>
    <row r="350" spans="4:8" ht="12.75" customHeight="1" x14ac:dyDescent="0.2">
      <c r="F350" s="31"/>
      <c r="G350" s="31"/>
      <c r="H350" s="31"/>
    </row>
    <row r="351" spans="4:8" ht="12.75" customHeight="1" x14ac:dyDescent="0.2">
      <c r="F351" s="31"/>
      <c r="G351" s="31"/>
      <c r="H351" s="31"/>
    </row>
    <row r="352" spans="4:8" ht="12.75" customHeight="1" x14ac:dyDescent="0.2">
      <c r="F352" s="31"/>
      <c r="G352" s="31"/>
      <c r="H352" s="31"/>
    </row>
    <row r="353" spans="6:8" ht="12.75" customHeight="1" x14ac:dyDescent="0.2">
      <c r="F353" s="31"/>
      <c r="G353" s="31"/>
      <c r="H353" s="31"/>
    </row>
    <row r="354" spans="6:8" ht="12.75" customHeight="1" x14ac:dyDescent="0.2">
      <c r="F354" s="31"/>
      <c r="G354" s="31"/>
      <c r="H354" s="31"/>
    </row>
    <row r="355" spans="6:8" ht="12.75" customHeight="1" x14ac:dyDescent="0.2">
      <c r="F355" s="31"/>
      <c r="G355" s="31"/>
      <c r="H355" s="31"/>
    </row>
    <row r="356" spans="6:8" ht="12.75" customHeight="1" x14ac:dyDescent="0.2">
      <c r="F356" s="31"/>
      <c r="G356" s="31"/>
      <c r="H356" s="31"/>
    </row>
    <row r="357" spans="6:8" ht="12.75" customHeight="1" x14ac:dyDescent="0.2">
      <c r="F357" s="31"/>
      <c r="G357" s="31"/>
      <c r="H357" s="31"/>
    </row>
    <row r="358" spans="6:8" ht="12.75" customHeight="1" x14ac:dyDescent="0.2">
      <c r="F358" s="31"/>
      <c r="G358" s="31"/>
      <c r="H358" s="31"/>
    </row>
    <row r="359" spans="6:8" ht="12.75" customHeight="1" x14ac:dyDescent="0.2">
      <c r="F359" s="31"/>
      <c r="G359" s="31"/>
      <c r="H359" s="31"/>
    </row>
    <row r="360" spans="6:8" ht="12.75" customHeight="1" x14ac:dyDescent="0.2">
      <c r="F360" s="31"/>
      <c r="G360" s="31"/>
      <c r="H360" s="31"/>
    </row>
    <row r="361" spans="6:8" ht="12.75" customHeight="1" x14ac:dyDescent="0.2">
      <c r="F361" s="31"/>
      <c r="G361" s="31"/>
      <c r="H361" s="31"/>
    </row>
    <row r="362" spans="6:8" ht="12.75" customHeight="1" x14ac:dyDescent="0.2">
      <c r="F362" s="31"/>
      <c r="G362" s="31"/>
      <c r="H362" s="31"/>
    </row>
    <row r="363" spans="6:8" ht="12.75" customHeight="1" x14ac:dyDescent="0.2">
      <c r="F363" s="31"/>
      <c r="G363" s="31"/>
      <c r="H363" s="31"/>
    </row>
    <row r="364" spans="6:8" ht="12.75" customHeight="1" x14ac:dyDescent="0.2">
      <c r="F364" s="31"/>
      <c r="G364" s="31"/>
      <c r="H364" s="31"/>
    </row>
    <row r="365" spans="6:8" ht="12.75" customHeight="1" x14ac:dyDescent="0.2">
      <c r="F365" s="31"/>
      <c r="G365" s="31"/>
      <c r="H365" s="31"/>
    </row>
    <row r="366" spans="6:8" ht="12.75" customHeight="1" x14ac:dyDescent="0.2">
      <c r="F366" s="31"/>
      <c r="G366" s="31"/>
      <c r="H366" s="31"/>
    </row>
    <row r="367" spans="6:8" ht="12.75" customHeight="1" x14ac:dyDescent="0.2">
      <c r="F367" s="31"/>
      <c r="G367" s="31"/>
      <c r="H367" s="31"/>
    </row>
    <row r="368" spans="6:8" ht="12.75" customHeight="1" x14ac:dyDescent="0.2">
      <c r="F368" s="31"/>
      <c r="G368" s="31"/>
      <c r="H368" s="31"/>
    </row>
    <row r="369" spans="6:8" ht="12.75" customHeight="1" x14ac:dyDescent="0.2">
      <c r="F369" s="31"/>
      <c r="G369" s="31"/>
      <c r="H369" s="31"/>
    </row>
    <row r="370" spans="6:8" ht="12.75" customHeight="1" x14ac:dyDescent="0.2">
      <c r="F370" s="31"/>
      <c r="G370" s="31"/>
      <c r="H370" s="31"/>
    </row>
    <row r="371" spans="6:8" ht="12.75" customHeight="1" x14ac:dyDescent="0.2">
      <c r="F371" s="31"/>
      <c r="G371" s="31"/>
      <c r="H371" s="31"/>
    </row>
    <row r="372" spans="6:8" ht="12.75" customHeight="1" x14ac:dyDescent="0.2">
      <c r="F372" s="31"/>
      <c r="G372" s="31"/>
      <c r="H372" s="31"/>
    </row>
    <row r="373" spans="6:8" ht="12.75" customHeight="1" x14ac:dyDescent="0.2">
      <c r="F373" s="31"/>
      <c r="G373" s="31"/>
      <c r="H373" s="31"/>
    </row>
    <row r="374" spans="6:8" ht="12.75" customHeight="1" x14ac:dyDescent="0.2">
      <c r="F374" s="31"/>
      <c r="G374" s="31"/>
      <c r="H374" s="31"/>
    </row>
    <row r="375" spans="6:8" ht="12.75" customHeight="1" x14ac:dyDescent="0.2">
      <c r="F375" s="31"/>
      <c r="G375" s="31"/>
      <c r="H375" s="31"/>
    </row>
    <row r="376" spans="6:8" ht="12.75" customHeight="1" x14ac:dyDescent="0.2">
      <c r="F376" s="31"/>
      <c r="G376" s="31"/>
      <c r="H376" s="31"/>
    </row>
    <row r="377" spans="6:8" ht="12.75" customHeight="1" x14ac:dyDescent="0.2">
      <c r="F377" s="31"/>
      <c r="G377" s="31"/>
      <c r="H377" s="31"/>
    </row>
    <row r="378" spans="6:8" ht="12.75" customHeight="1" x14ac:dyDescent="0.2">
      <c r="F378" s="31"/>
      <c r="G378" s="31"/>
      <c r="H378" s="31"/>
    </row>
    <row r="379" spans="6:8" ht="12.75" customHeight="1" x14ac:dyDescent="0.2">
      <c r="F379" s="31"/>
      <c r="G379" s="31"/>
      <c r="H379" s="31"/>
    </row>
    <row r="380" spans="6:8" ht="12.75" customHeight="1" x14ac:dyDescent="0.2">
      <c r="F380" s="31"/>
      <c r="G380" s="31"/>
      <c r="H380" s="31"/>
    </row>
    <row r="381" spans="6:8" ht="12.75" customHeight="1" x14ac:dyDescent="0.2">
      <c r="F381" s="31"/>
      <c r="G381" s="31"/>
      <c r="H381" s="31"/>
    </row>
    <row r="382" spans="6:8" ht="12.75" customHeight="1" x14ac:dyDescent="0.2">
      <c r="F382" s="31"/>
      <c r="G382" s="31"/>
      <c r="H382" s="31"/>
    </row>
    <row r="383" spans="6:8" ht="12.75" customHeight="1" x14ac:dyDescent="0.2">
      <c r="F383" s="31"/>
      <c r="G383" s="31"/>
      <c r="H383" s="31"/>
    </row>
    <row r="384" spans="6:8" ht="12.75" customHeight="1" x14ac:dyDescent="0.2">
      <c r="F384" s="31"/>
      <c r="G384" s="31"/>
      <c r="H384" s="31"/>
    </row>
    <row r="385" spans="6:8" ht="12.75" customHeight="1" x14ac:dyDescent="0.2">
      <c r="F385" s="31"/>
      <c r="G385" s="31"/>
      <c r="H385" s="31"/>
    </row>
    <row r="386" spans="6:8" ht="12.75" customHeight="1" x14ac:dyDescent="0.2">
      <c r="F386" s="31"/>
      <c r="G386" s="31"/>
      <c r="H386" s="31"/>
    </row>
    <row r="387" spans="6:8" ht="12.75" customHeight="1" x14ac:dyDescent="0.2">
      <c r="F387" s="31"/>
      <c r="G387" s="31"/>
      <c r="H387" s="31"/>
    </row>
    <row r="388" spans="6:8" ht="12.75" customHeight="1" x14ac:dyDescent="0.2">
      <c r="F388" s="31"/>
      <c r="G388" s="31"/>
      <c r="H388" s="31"/>
    </row>
    <row r="389" spans="6:8" ht="12.75" customHeight="1" x14ac:dyDescent="0.2">
      <c r="F389" s="31"/>
      <c r="G389" s="31"/>
      <c r="H389" s="31"/>
    </row>
    <row r="390" spans="6:8" ht="12.75" customHeight="1" x14ac:dyDescent="0.2">
      <c r="F390" s="31"/>
      <c r="G390" s="31"/>
      <c r="H390" s="31"/>
    </row>
    <row r="391" spans="6:8" ht="12.75" customHeight="1" x14ac:dyDescent="0.2">
      <c r="F391" s="31"/>
      <c r="G391" s="31"/>
      <c r="H391" s="31"/>
    </row>
    <row r="392" spans="6:8" ht="12.75" customHeight="1" x14ac:dyDescent="0.2">
      <c r="F392" s="31"/>
      <c r="G392" s="31"/>
      <c r="H392" s="31"/>
    </row>
    <row r="393" spans="6:8" ht="12.75" customHeight="1" x14ac:dyDescent="0.2">
      <c r="F393" s="31"/>
      <c r="G393" s="31"/>
      <c r="H393" s="31"/>
    </row>
    <row r="394" spans="6:8" ht="12.75" customHeight="1" x14ac:dyDescent="0.2">
      <c r="F394" s="31"/>
      <c r="G394" s="31"/>
      <c r="H394" s="31"/>
    </row>
    <row r="395" spans="6:8" ht="12.75" customHeight="1" x14ac:dyDescent="0.2">
      <c r="F395" s="31"/>
      <c r="G395" s="31"/>
      <c r="H395" s="31"/>
    </row>
    <row r="396" spans="6:8" ht="12.75" customHeight="1" x14ac:dyDescent="0.2">
      <c r="F396" s="31"/>
      <c r="G396" s="31"/>
      <c r="H396" s="31"/>
    </row>
    <row r="397" spans="6:8" ht="12.75" customHeight="1" x14ac:dyDescent="0.2">
      <c r="F397" s="31"/>
      <c r="G397" s="31"/>
      <c r="H397" s="31"/>
    </row>
    <row r="398" spans="6:8" ht="12.75" customHeight="1" x14ac:dyDescent="0.2">
      <c r="F398" s="31"/>
      <c r="G398" s="31"/>
      <c r="H398" s="31"/>
    </row>
    <row r="399" spans="6:8" ht="12.75" customHeight="1" x14ac:dyDescent="0.2">
      <c r="F399" s="31"/>
      <c r="G399" s="31"/>
      <c r="H399" s="31"/>
    </row>
    <row r="400" spans="6:8" ht="12.75" customHeight="1" x14ac:dyDescent="0.2">
      <c r="F400" s="31"/>
      <c r="G400" s="31"/>
      <c r="H400" s="31"/>
    </row>
    <row r="401" spans="6:8" ht="12.75" customHeight="1" x14ac:dyDescent="0.2">
      <c r="F401" s="31"/>
      <c r="G401" s="31"/>
      <c r="H401" s="31"/>
    </row>
    <row r="402" spans="6:8" ht="12.75" customHeight="1" x14ac:dyDescent="0.2">
      <c r="F402" s="31"/>
      <c r="G402" s="31"/>
      <c r="H402" s="31"/>
    </row>
    <row r="403" spans="6:8" ht="12.75" customHeight="1" x14ac:dyDescent="0.2">
      <c r="F403" s="31"/>
      <c r="G403" s="31"/>
      <c r="H403" s="31"/>
    </row>
    <row r="404" spans="6:8" ht="12.75" customHeight="1" x14ac:dyDescent="0.2">
      <c r="F404" s="31"/>
      <c r="G404" s="31"/>
      <c r="H404" s="31"/>
    </row>
    <row r="405" spans="6:8" ht="12.75" customHeight="1" x14ac:dyDescent="0.2">
      <c r="F405" s="31"/>
      <c r="G405" s="31"/>
      <c r="H405" s="31"/>
    </row>
    <row r="406" spans="6:8" ht="12.75" customHeight="1" x14ac:dyDescent="0.2">
      <c r="F406" s="31"/>
      <c r="G406" s="31"/>
      <c r="H406" s="31"/>
    </row>
    <row r="407" spans="6:8" ht="12.75" customHeight="1" x14ac:dyDescent="0.2">
      <c r="F407" s="31"/>
      <c r="G407" s="31"/>
      <c r="H407" s="31"/>
    </row>
    <row r="408" spans="6:8" ht="12.75" customHeight="1" x14ac:dyDescent="0.2">
      <c r="F408" s="31"/>
      <c r="G408" s="31"/>
      <c r="H408" s="31"/>
    </row>
    <row r="409" spans="6:8" ht="12.75" customHeight="1" x14ac:dyDescent="0.2">
      <c r="F409" s="31"/>
      <c r="G409" s="31"/>
      <c r="H409" s="31"/>
    </row>
    <row r="410" spans="6:8" ht="12.75" customHeight="1" x14ac:dyDescent="0.2">
      <c r="F410" s="31"/>
      <c r="G410" s="31"/>
      <c r="H410" s="31"/>
    </row>
    <row r="411" spans="6:8" ht="12.75" customHeight="1" x14ac:dyDescent="0.2">
      <c r="F411" s="31"/>
      <c r="G411" s="31"/>
      <c r="H411" s="31"/>
    </row>
    <row r="412" spans="6:8" ht="12.75" customHeight="1" x14ac:dyDescent="0.2">
      <c r="F412" s="31"/>
      <c r="G412" s="31"/>
      <c r="H412" s="31"/>
    </row>
    <row r="413" spans="6:8" ht="12.75" customHeight="1" x14ac:dyDescent="0.2">
      <c r="F413" s="31"/>
      <c r="G413" s="31"/>
      <c r="H413" s="31"/>
    </row>
    <row r="414" spans="6:8" ht="12.75" customHeight="1" x14ac:dyDescent="0.2">
      <c r="F414" s="31"/>
      <c r="G414" s="31"/>
      <c r="H414" s="31"/>
    </row>
    <row r="415" spans="6:8" ht="12.75" customHeight="1" x14ac:dyDescent="0.2">
      <c r="F415" s="31"/>
      <c r="G415" s="31"/>
      <c r="H415" s="31"/>
    </row>
    <row r="416" spans="6:8" ht="12.75" customHeight="1" x14ac:dyDescent="0.2">
      <c r="F416" s="31"/>
      <c r="G416" s="31"/>
      <c r="H416" s="31"/>
    </row>
    <row r="417" spans="6:8" ht="12.75" customHeight="1" x14ac:dyDescent="0.2">
      <c r="F417" s="31"/>
      <c r="G417" s="31"/>
      <c r="H417" s="31"/>
    </row>
    <row r="418" spans="6:8" ht="12.75" customHeight="1" x14ac:dyDescent="0.2">
      <c r="F418" s="31"/>
      <c r="G418" s="31"/>
      <c r="H418" s="31"/>
    </row>
    <row r="419" spans="6:8" ht="12.75" customHeight="1" x14ac:dyDescent="0.2">
      <c r="F419" s="31"/>
      <c r="G419" s="31"/>
      <c r="H419" s="31"/>
    </row>
    <row r="420" spans="6:8" ht="12.75" customHeight="1" x14ac:dyDescent="0.2">
      <c r="F420" s="31"/>
      <c r="G420" s="31"/>
      <c r="H420" s="31"/>
    </row>
    <row r="421" spans="6:8" ht="12.75" customHeight="1" x14ac:dyDescent="0.2">
      <c r="F421" s="31"/>
      <c r="G421" s="31"/>
      <c r="H421" s="31"/>
    </row>
    <row r="422" spans="6:8" ht="12.75" customHeight="1" x14ac:dyDescent="0.2">
      <c r="F422" s="31"/>
      <c r="G422" s="31"/>
      <c r="H422" s="31"/>
    </row>
    <row r="423" spans="6:8" ht="12.75" customHeight="1" x14ac:dyDescent="0.2">
      <c r="F423" s="31"/>
      <c r="G423" s="31"/>
      <c r="H423" s="31"/>
    </row>
    <row r="424" spans="6:8" ht="12.75" customHeight="1" x14ac:dyDescent="0.2">
      <c r="F424" s="31"/>
      <c r="G424" s="31"/>
      <c r="H424" s="31"/>
    </row>
    <row r="425" spans="6:8" ht="12.75" customHeight="1" x14ac:dyDescent="0.2">
      <c r="F425" s="31"/>
      <c r="G425" s="31"/>
      <c r="H425" s="31"/>
    </row>
    <row r="426" spans="6:8" ht="12.75" customHeight="1" x14ac:dyDescent="0.2">
      <c r="F426" s="31"/>
      <c r="G426" s="31"/>
      <c r="H426" s="31"/>
    </row>
    <row r="427" spans="6:8" ht="12.75" customHeight="1" x14ac:dyDescent="0.2">
      <c r="F427" s="31"/>
      <c r="G427" s="31"/>
      <c r="H427" s="31"/>
    </row>
    <row r="428" spans="6:8" ht="12.75" customHeight="1" x14ac:dyDescent="0.2">
      <c r="F428" s="31"/>
      <c r="G428" s="31"/>
      <c r="H428" s="31"/>
    </row>
    <row r="429" spans="6:8" ht="12.75" customHeight="1" x14ac:dyDescent="0.2">
      <c r="F429" s="31"/>
      <c r="G429" s="31"/>
      <c r="H429" s="31"/>
    </row>
    <row r="430" spans="6:8" ht="12.75" customHeight="1" x14ac:dyDescent="0.2">
      <c r="F430" s="31"/>
      <c r="G430" s="31"/>
      <c r="H430" s="31"/>
    </row>
    <row r="431" spans="6:8" ht="12.75" customHeight="1" x14ac:dyDescent="0.2">
      <c r="F431" s="31"/>
      <c r="G431" s="31"/>
      <c r="H431" s="31"/>
    </row>
    <row r="432" spans="6:8" ht="12.75" customHeight="1" x14ac:dyDescent="0.2">
      <c r="F432" s="31"/>
      <c r="G432" s="31"/>
      <c r="H432" s="31"/>
    </row>
    <row r="433" spans="6:8" ht="12.75" customHeight="1" x14ac:dyDescent="0.2">
      <c r="F433" s="31"/>
      <c r="G433" s="31"/>
      <c r="H433" s="31"/>
    </row>
    <row r="434" spans="6:8" ht="12.75" customHeight="1" x14ac:dyDescent="0.2">
      <c r="F434" s="31"/>
      <c r="G434" s="31"/>
      <c r="H434" s="31"/>
    </row>
    <row r="435" spans="6:8" ht="12.75" customHeight="1" x14ac:dyDescent="0.2">
      <c r="F435" s="31"/>
      <c r="G435" s="31"/>
      <c r="H435" s="31"/>
    </row>
    <row r="436" spans="6:8" ht="12.75" customHeight="1" x14ac:dyDescent="0.2">
      <c r="F436" s="31"/>
      <c r="G436" s="31"/>
      <c r="H436" s="31"/>
    </row>
    <row r="437" spans="6:8" ht="12.75" customHeight="1" x14ac:dyDescent="0.2">
      <c r="F437" s="31"/>
      <c r="G437" s="31"/>
      <c r="H437" s="31"/>
    </row>
    <row r="438" spans="6:8" ht="12.75" customHeight="1" x14ac:dyDescent="0.2">
      <c r="F438" s="31"/>
      <c r="G438" s="31"/>
      <c r="H438" s="31"/>
    </row>
    <row r="439" spans="6:8" ht="12.75" customHeight="1" x14ac:dyDescent="0.2">
      <c r="F439" s="31"/>
      <c r="G439" s="31"/>
      <c r="H439" s="31"/>
    </row>
    <row r="440" spans="6:8" ht="12.75" customHeight="1" x14ac:dyDescent="0.2">
      <c r="F440" s="31"/>
      <c r="G440" s="31"/>
      <c r="H440" s="31"/>
    </row>
    <row r="441" spans="6:8" ht="12.75" customHeight="1" x14ac:dyDescent="0.2">
      <c r="F441" s="31"/>
      <c r="G441" s="31"/>
      <c r="H441" s="31"/>
    </row>
    <row r="442" spans="6:8" ht="12.75" customHeight="1" x14ac:dyDescent="0.2">
      <c r="F442" s="31"/>
      <c r="G442" s="31"/>
      <c r="H442" s="31"/>
    </row>
    <row r="443" spans="6:8" ht="12.75" customHeight="1" x14ac:dyDescent="0.2">
      <c r="F443" s="31"/>
      <c r="G443" s="31"/>
      <c r="H443" s="31"/>
    </row>
    <row r="444" spans="6:8" ht="12.75" customHeight="1" x14ac:dyDescent="0.2">
      <c r="F444" s="31"/>
      <c r="G444" s="31"/>
      <c r="H444" s="31"/>
    </row>
    <row r="445" spans="6:8" ht="12.75" customHeight="1" x14ac:dyDescent="0.2">
      <c r="F445" s="31"/>
      <c r="G445" s="31"/>
      <c r="H445" s="31"/>
    </row>
    <row r="446" spans="6:8" ht="12.75" customHeight="1" x14ac:dyDescent="0.2">
      <c r="F446" s="31"/>
      <c r="G446" s="31"/>
      <c r="H446" s="31"/>
    </row>
    <row r="447" spans="6:8" ht="12.75" customHeight="1" x14ac:dyDescent="0.2">
      <c r="F447" s="31"/>
      <c r="G447" s="31"/>
      <c r="H447" s="31"/>
    </row>
    <row r="448" spans="6:8" ht="12.75" customHeight="1" x14ac:dyDescent="0.2">
      <c r="F448" s="31"/>
      <c r="G448" s="31"/>
      <c r="H448" s="31"/>
    </row>
    <row r="449" spans="6:8" ht="12.75" customHeight="1" x14ac:dyDescent="0.2">
      <c r="F449" s="31"/>
      <c r="G449" s="31"/>
      <c r="H449" s="31"/>
    </row>
    <row r="450" spans="6:8" ht="12.75" customHeight="1" x14ac:dyDescent="0.2">
      <c r="F450" s="31"/>
      <c r="G450" s="31"/>
      <c r="H450" s="31"/>
    </row>
    <row r="451" spans="6:8" ht="12.75" customHeight="1" x14ac:dyDescent="0.2">
      <c r="F451" s="31"/>
      <c r="G451" s="31"/>
      <c r="H451" s="31"/>
    </row>
    <row r="452" spans="6:8" ht="12.75" customHeight="1" x14ac:dyDescent="0.2">
      <c r="F452" s="31"/>
      <c r="G452" s="31"/>
      <c r="H452" s="31"/>
    </row>
    <row r="453" spans="6:8" ht="12.75" customHeight="1" x14ac:dyDescent="0.2">
      <c r="F453" s="31"/>
      <c r="G453" s="31"/>
      <c r="H453" s="31"/>
    </row>
    <row r="454" spans="6:8" ht="12.75" customHeight="1" x14ac:dyDescent="0.2">
      <c r="F454" s="31"/>
      <c r="G454" s="31"/>
      <c r="H454" s="31"/>
    </row>
    <row r="455" spans="6:8" ht="12.75" customHeight="1" x14ac:dyDescent="0.2">
      <c r="F455" s="31"/>
      <c r="G455" s="31"/>
      <c r="H455" s="31"/>
    </row>
    <row r="456" spans="6:8" ht="12.75" customHeight="1" x14ac:dyDescent="0.2">
      <c r="F456" s="31"/>
      <c r="G456" s="31"/>
      <c r="H456" s="31"/>
    </row>
    <row r="457" spans="6:8" ht="12.75" customHeight="1" x14ac:dyDescent="0.2">
      <c r="F457" s="31"/>
      <c r="G457" s="31"/>
      <c r="H457" s="31"/>
    </row>
    <row r="458" spans="6:8" ht="12.75" customHeight="1" x14ac:dyDescent="0.2">
      <c r="F458" s="31"/>
      <c r="G458" s="31"/>
      <c r="H458" s="31"/>
    </row>
    <row r="459" spans="6:8" ht="12.75" customHeight="1" x14ac:dyDescent="0.2">
      <c r="F459" s="31"/>
      <c r="G459" s="31"/>
      <c r="H459" s="31"/>
    </row>
    <row r="460" spans="6:8" ht="12.75" customHeight="1" x14ac:dyDescent="0.2">
      <c r="F460" s="31"/>
      <c r="G460" s="31"/>
      <c r="H460" s="31"/>
    </row>
    <row r="461" spans="6:8" ht="12.75" customHeight="1" x14ac:dyDescent="0.2">
      <c r="F461" s="31"/>
      <c r="G461" s="31"/>
      <c r="H461" s="31"/>
    </row>
    <row r="462" spans="6:8" ht="12.75" customHeight="1" x14ac:dyDescent="0.2">
      <c r="F462" s="31"/>
      <c r="G462" s="31"/>
      <c r="H462" s="31"/>
    </row>
    <row r="463" spans="6:8" ht="12.75" customHeight="1" x14ac:dyDescent="0.2">
      <c r="F463" s="31"/>
      <c r="G463" s="31"/>
      <c r="H463" s="31"/>
    </row>
    <row r="464" spans="6:8" ht="12.75" customHeight="1" x14ac:dyDescent="0.2">
      <c r="F464" s="31"/>
      <c r="G464" s="31"/>
      <c r="H464" s="31"/>
    </row>
    <row r="465" spans="6:8" ht="12.75" customHeight="1" x14ac:dyDescent="0.2">
      <c r="F465" s="31"/>
      <c r="G465" s="31"/>
      <c r="H465" s="31"/>
    </row>
    <row r="466" spans="6:8" ht="12.75" customHeight="1" x14ac:dyDescent="0.2">
      <c r="F466" s="31"/>
      <c r="G466" s="31"/>
      <c r="H466" s="31"/>
    </row>
    <row r="467" spans="6:8" ht="12.75" customHeight="1" x14ac:dyDescent="0.2">
      <c r="F467" s="31"/>
      <c r="G467" s="31"/>
      <c r="H467" s="31"/>
    </row>
    <row r="468" spans="6:8" ht="12.75" customHeight="1" x14ac:dyDescent="0.2">
      <c r="F468" s="31"/>
      <c r="G468" s="31"/>
      <c r="H468" s="31"/>
    </row>
    <row r="469" spans="6:8" ht="12.75" customHeight="1" x14ac:dyDescent="0.2">
      <c r="F469" s="31"/>
      <c r="G469" s="31"/>
      <c r="H469" s="31"/>
    </row>
    <row r="470" spans="6:8" ht="12.75" customHeight="1" x14ac:dyDescent="0.2">
      <c r="F470" s="31"/>
      <c r="G470" s="31"/>
      <c r="H470" s="31"/>
    </row>
    <row r="471" spans="6:8" ht="12.75" customHeight="1" x14ac:dyDescent="0.2">
      <c r="F471" s="31"/>
      <c r="G471" s="31"/>
      <c r="H471" s="31"/>
    </row>
    <row r="472" spans="6:8" ht="12.75" customHeight="1" x14ac:dyDescent="0.2">
      <c r="F472" s="31"/>
      <c r="G472" s="31"/>
      <c r="H472" s="31"/>
    </row>
    <row r="473" spans="6:8" ht="12.75" customHeight="1" x14ac:dyDescent="0.2">
      <c r="F473" s="31"/>
      <c r="G473" s="31"/>
      <c r="H473" s="31"/>
    </row>
    <row r="474" spans="6:8" ht="12.75" customHeight="1" x14ac:dyDescent="0.2">
      <c r="F474" s="31"/>
      <c r="G474" s="31"/>
      <c r="H474" s="31"/>
    </row>
    <row r="475" spans="6:8" ht="12.75" customHeight="1" x14ac:dyDescent="0.2">
      <c r="F475" s="31"/>
      <c r="G475" s="31"/>
      <c r="H475" s="31"/>
    </row>
    <row r="476" spans="6:8" ht="12.75" customHeight="1" x14ac:dyDescent="0.2">
      <c r="F476" s="31"/>
      <c r="G476" s="31"/>
      <c r="H476" s="31"/>
    </row>
    <row r="477" spans="6:8" ht="12.75" customHeight="1" x14ac:dyDescent="0.2">
      <c r="F477" s="31"/>
      <c r="G477" s="31"/>
      <c r="H477" s="31"/>
    </row>
    <row r="478" spans="6:8" ht="12.75" customHeight="1" x14ac:dyDescent="0.2">
      <c r="F478" s="31"/>
      <c r="G478" s="31"/>
      <c r="H478" s="31"/>
    </row>
    <row r="479" spans="6:8" ht="12.75" customHeight="1" x14ac:dyDescent="0.2">
      <c r="F479" s="31"/>
      <c r="G479" s="31"/>
      <c r="H479" s="31"/>
    </row>
    <row r="480" spans="6:8" ht="12.75" customHeight="1" x14ac:dyDescent="0.2">
      <c r="F480" s="31"/>
      <c r="G480" s="31"/>
      <c r="H480" s="31"/>
    </row>
    <row r="481" spans="6:8" ht="12.75" customHeight="1" x14ac:dyDescent="0.2">
      <c r="F481" s="31"/>
      <c r="G481" s="31"/>
      <c r="H481" s="31"/>
    </row>
    <row r="482" spans="6:8" ht="12.75" customHeight="1" x14ac:dyDescent="0.2">
      <c r="F482" s="31"/>
      <c r="G482" s="31"/>
      <c r="H482" s="31"/>
    </row>
    <row r="483" spans="6:8" ht="12.75" customHeight="1" x14ac:dyDescent="0.2">
      <c r="F483" s="31"/>
      <c r="G483" s="31"/>
      <c r="H483" s="31"/>
    </row>
    <row r="484" spans="6:8" ht="12.75" customHeight="1" x14ac:dyDescent="0.2">
      <c r="F484" s="31"/>
      <c r="G484" s="31"/>
      <c r="H484" s="31"/>
    </row>
    <row r="485" spans="6:8" ht="12.75" customHeight="1" x14ac:dyDescent="0.2">
      <c r="F485" s="31"/>
      <c r="G485" s="31"/>
      <c r="H485" s="31"/>
    </row>
    <row r="486" spans="6:8" ht="12.75" customHeight="1" x14ac:dyDescent="0.2">
      <c r="F486" s="31"/>
      <c r="G486" s="31"/>
      <c r="H486" s="31"/>
    </row>
    <row r="487" spans="6:8" ht="12.75" customHeight="1" x14ac:dyDescent="0.2">
      <c r="F487" s="31"/>
      <c r="G487" s="31"/>
      <c r="H487" s="31"/>
    </row>
    <row r="488" spans="6:8" ht="12.75" customHeight="1" x14ac:dyDescent="0.2">
      <c r="F488" s="31"/>
      <c r="G488" s="31"/>
      <c r="H488" s="31"/>
    </row>
    <row r="489" spans="6:8" ht="12.75" customHeight="1" x14ac:dyDescent="0.2">
      <c r="F489" s="31"/>
      <c r="G489" s="31"/>
      <c r="H489" s="31"/>
    </row>
    <row r="490" spans="6:8" ht="12.75" customHeight="1" x14ac:dyDescent="0.2">
      <c r="F490" s="31"/>
      <c r="G490" s="31"/>
      <c r="H490" s="31"/>
    </row>
    <row r="491" spans="6:8" ht="12.75" customHeight="1" x14ac:dyDescent="0.2">
      <c r="F491" s="31"/>
      <c r="G491" s="31"/>
      <c r="H491" s="31"/>
    </row>
    <row r="492" spans="6:8" ht="12.75" customHeight="1" x14ac:dyDescent="0.2">
      <c r="F492" s="31"/>
      <c r="G492" s="31"/>
      <c r="H492" s="31"/>
    </row>
    <row r="493" spans="6:8" ht="12.75" customHeight="1" x14ac:dyDescent="0.2">
      <c r="F493" s="31"/>
      <c r="G493" s="31"/>
      <c r="H493" s="31"/>
    </row>
    <row r="494" spans="6:8" ht="12.75" customHeight="1" x14ac:dyDescent="0.2">
      <c r="F494" s="31"/>
      <c r="G494" s="31"/>
      <c r="H494" s="31"/>
    </row>
    <row r="495" spans="6:8" ht="12.75" customHeight="1" x14ac:dyDescent="0.2">
      <c r="F495" s="31"/>
      <c r="G495" s="31"/>
      <c r="H495" s="31"/>
    </row>
    <row r="496" spans="6:8" ht="12.75" customHeight="1" x14ac:dyDescent="0.2">
      <c r="F496" s="31"/>
      <c r="G496" s="31"/>
      <c r="H496" s="31"/>
    </row>
    <row r="497" spans="6:8" ht="12.75" customHeight="1" x14ac:dyDescent="0.2">
      <c r="F497" s="31"/>
      <c r="G497" s="31"/>
      <c r="H497" s="31"/>
    </row>
    <row r="498" spans="6:8" ht="12.75" customHeight="1" x14ac:dyDescent="0.2">
      <c r="F498" s="31"/>
      <c r="G498" s="31"/>
      <c r="H498" s="31"/>
    </row>
    <row r="499" spans="6:8" ht="12.75" customHeight="1" x14ac:dyDescent="0.2">
      <c r="F499" s="31"/>
      <c r="G499" s="31"/>
      <c r="H499" s="31"/>
    </row>
    <row r="500" spans="6:8" ht="12.75" customHeight="1" x14ac:dyDescent="0.2">
      <c r="F500" s="31"/>
      <c r="G500" s="31"/>
      <c r="H500" s="31"/>
    </row>
    <row r="501" spans="6:8" ht="12.75" customHeight="1" x14ac:dyDescent="0.2">
      <c r="F501" s="31"/>
      <c r="G501" s="31"/>
      <c r="H501" s="31"/>
    </row>
    <row r="502" spans="6:8" ht="12.75" customHeight="1" x14ac:dyDescent="0.2">
      <c r="F502" s="31"/>
      <c r="G502" s="31"/>
      <c r="H502" s="31"/>
    </row>
    <row r="503" spans="6:8" ht="12.75" customHeight="1" x14ac:dyDescent="0.2">
      <c r="F503" s="31"/>
      <c r="G503" s="31"/>
      <c r="H503" s="31"/>
    </row>
    <row r="504" spans="6:8" ht="12.75" customHeight="1" x14ac:dyDescent="0.2">
      <c r="F504" s="31"/>
      <c r="G504" s="31"/>
      <c r="H504" s="31"/>
    </row>
    <row r="505" spans="6:8" ht="12.75" customHeight="1" x14ac:dyDescent="0.2">
      <c r="F505" s="31"/>
      <c r="G505" s="31"/>
      <c r="H505" s="31"/>
    </row>
    <row r="506" spans="6:8" ht="12.75" customHeight="1" x14ac:dyDescent="0.2">
      <c r="F506" s="31"/>
      <c r="G506" s="31"/>
      <c r="H506" s="31"/>
    </row>
    <row r="507" spans="6:8" ht="12.75" customHeight="1" x14ac:dyDescent="0.2">
      <c r="F507" s="31"/>
      <c r="G507" s="31"/>
      <c r="H507" s="31"/>
    </row>
    <row r="508" spans="6:8" ht="12.75" customHeight="1" x14ac:dyDescent="0.2">
      <c r="F508" s="31"/>
      <c r="G508" s="31"/>
      <c r="H508" s="31"/>
    </row>
    <row r="509" spans="6:8" ht="12.75" customHeight="1" x14ac:dyDescent="0.2">
      <c r="F509" s="31"/>
      <c r="G509" s="31"/>
      <c r="H509" s="31"/>
    </row>
    <row r="510" spans="6:8" ht="12.75" customHeight="1" x14ac:dyDescent="0.2">
      <c r="F510" s="31"/>
      <c r="G510" s="31"/>
      <c r="H510" s="31"/>
    </row>
    <row r="511" spans="6:8" ht="12.75" customHeight="1" x14ac:dyDescent="0.2">
      <c r="F511" s="31"/>
      <c r="G511" s="31"/>
      <c r="H511" s="31"/>
    </row>
    <row r="512" spans="6:8" ht="12.75" customHeight="1" x14ac:dyDescent="0.2">
      <c r="F512" s="31"/>
      <c r="G512" s="31"/>
      <c r="H512" s="31"/>
    </row>
    <row r="513" spans="6:8" ht="12.75" customHeight="1" x14ac:dyDescent="0.2">
      <c r="F513" s="31"/>
      <c r="G513" s="31"/>
      <c r="H513" s="31"/>
    </row>
    <row r="514" spans="6:8" ht="12.75" customHeight="1" x14ac:dyDescent="0.2">
      <c r="F514" s="31"/>
      <c r="G514" s="31"/>
      <c r="H514" s="31"/>
    </row>
    <row r="515" spans="6:8" ht="12.75" customHeight="1" x14ac:dyDescent="0.2">
      <c r="F515" s="31"/>
      <c r="G515" s="31"/>
      <c r="H515" s="31"/>
    </row>
    <row r="516" spans="6:8" ht="12.75" customHeight="1" x14ac:dyDescent="0.2">
      <c r="F516" s="31"/>
      <c r="G516" s="31"/>
      <c r="H516" s="31"/>
    </row>
    <row r="517" spans="6:8" ht="12.75" customHeight="1" x14ac:dyDescent="0.2">
      <c r="F517" s="31"/>
      <c r="G517" s="31"/>
      <c r="H517" s="31"/>
    </row>
    <row r="518" spans="6:8" ht="12.75" customHeight="1" x14ac:dyDescent="0.2">
      <c r="F518" s="31"/>
      <c r="G518" s="31"/>
      <c r="H518" s="31"/>
    </row>
    <row r="519" spans="6:8" ht="12.75" customHeight="1" x14ac:dyDescent="0.2">
      <c r="F519" s="31"/>
      <c r="G519" s="31"/>
      <c r="H519" s="31"/>
    </row>
    <row r="520" spans="6:8" ht="12.75" customHeight="1" x14ac:dyDescent="0.2">
      <c r="F520" s="31"/>
      <c r="G520" s="31"/>
      <c r="H520" s="31"/>
    </row>
    <row r="521" spans="6:8" ht="12.75" customHeight="1" x14ac:dyDescent="0.2">
      <c r="F521" s="31"/>
      <c r="G521" s="31"/>
      <c r="H521" s="31"/>
    </row>
    <row r="522" spans="6:8" ht="12.75" customHeight="1" x14ac:dyDescent="0.2">
      <c r="F522" s="31"/>
      <c r="G522" s="31"/>
      <c r="H522" s="31"/>
    </row>
    <row r="523" spans="6:8" ht="12.75" customHeight="1" x14ac:dyDescent="0.2">
      <c r="F523" s="31"/>
      <c r="G523" s="31"/>
      <c r="H523" s="31"/>
    </row>
    <row r="524" spans="6:8" ht="12.75" customHeight="1" x14ac:dyDescent="0.2">
      <c r="F524" s="31"/>
      <c r="G524" s="31"/>
      <c r="H524" s="31"/>
    </row>
    <row r="525" spans="6:8" ht="12.75" customHeight="1" x14ac:dyDescent="0.2">
      <c r="F525" s="31"/>
      <c r="G525" s="31"/>
      <c r="H525" s="31"/>
    </row>
    <row r="526" spans="6:8" ht="12.75" customHeight="1" x14ac:dyDescent="0.2">
      <c r="F526" s="31"/>
      <c r="G526" s="31"/>
      <c r="H526" s="31"/>
    </row>
    <row r="527" spans="6:8" ht="12.75" customHeight="1" x14ac:dyDescent="0.2">
      <c r="F527" s="31"/>
      <c r="G527" s="31"/>
      <c r="H527" s="31"/>
    </row>
    <row r="528" spans="6:8" ht="12.75" customHeight="1" x14ac:dyDescent="0.2">
      <c r="F528" s="31"/>
      <c r="G528" s="31"/>
      <c r="H528" s="31"/>
    </row>
    <row r="529" spans="6:8" ht="12.75" customHeight="1" x14ac:dyDescent="0.2">
      <c r="F529" s="31"/>
      <c r="G529" s="31"/>
      <c r="H529" s="31"/>
    </row>
    <row r="530" spans="6:8" ht="12.75" customHeight="1" x14ac:dyDescent="0.2">
      <c r="F530" s="31"/>
      <c r="G530" s="31"/>
      <c r="H530" s="31"/>
    </row>
    <row r="531" spans="6:8" ht="12.75" customHeight="1" x14ac:dyDescent="0.2">
      <c r="F531" s="31"/>
      <c r="G531" s="31"/>
      <c r="H531" s="31"/>
    </row>
    <row r="532" spans="6:8" ht="12.75" customHeight="1" x14ac:dyDescent="0.2">
      <c r="F532" s="31"/>
      <c r="G532" s="31"/>
      <c r="H532" s="31"/>
    </row>
    <row r="533" spans="6:8" ht="12.75" customHeight="1" x14ac:dyDescent="0.2">
      <c r="F533" s="31"/>
      <c r="G533" s="31"/>
      <c r="H533" s="31"/>
    </row>
    <row r="534" spans="6:8" ht="12.75" customHeight="1" x14ac:dyDescent="0.2">
      <c r="F534" s="31"/>
      <c r="G534" s="31"/>
      <c r="H534" s="31"/>
    </row>
    <row r="535" spans="6:8" ht="12.75" customHeight="1" x14ac:dyDescent="0.2">
      <c r="F535" s="31"/>
      <c r="G535" s="31"/>
      <c r="H535" s="31"/>
    </row>
    <row r="536" spans="6:8" ht="12.75" customHeight="1" x14ac:dyDescent="0.2">
      <c r="F536" s="31"/>
      <c r="G536" s="31"/>
      <c r="H536" s="31"/>
    </row>
    <row r="537" spans="6:8" ht="12.75" customHeight="1" x14ac:dyDescent="0.2">
      <c r="F537" s="31"/>
      <c r="G537" s="31"/>
      <c r="H537" s="31"/>
    </row>
    <row r="538" spans="6:8" ht="12.75" customHeight="1" x14ac:dyDescent="0.2">
      <c r="F538" s="31"/>
      <c r="G538" s="31"/>
      <c r="H538" s="31"/>
    </row>
    <row r="539" spans="6:8" ht="12.75" customHeight="1" x14ac:dyDescent="0.2">
      <c r="F539" s="31"/>
      <c r="G539" s="31"/>
      <c r="H539" s="31"/>
    </row>
    <row r="540" spans="6:8" ht="12.75" customHeight="1" x14ac:dyDescent="0.2">
      <c r="F540" s="31"/>
      <c r="G540" s="31"/>
      <c r="H540" s="31"/>
    </row>
    <row r="541" spans="6:8" ht="12.75" customHeight="1" x14ac:dyDescent="0.2">
      <c r="F541" s="31"/>
      <c r="G541" s="31"/>
      <c r="H541" s="31"/>
    </row>
    <row r="542" spans="6:8" ht="12.75" customHeight="1" x14ac:dyDescent="0.2">
      <c r="F542" s="31"/>
      <c r="G542" s="31"/>
      <c r="H542" s="31"/>
    </row>
    <row r="543" spans="6:8" ht="12.75" customHeight="1" x14ac:dyDescent="0.2">
      <c r="F543" s="31"/>
      <c r="G543" s="31"/>
      <c r="H543" s="31"/>
    </row>
    <row r="544" spans="6:8" ht="12.75" customHeight="1" x14ac:dyDescent="0.2">
      <c r="F544" s="31"/>
      <c r="G544" s="31"/>
      <c r="H544" s="31"/>
    </row>
    <row r="545" spans="6:8" ht="12.75" customHeight="1" x14ac:dyDescent="0.2">
      <c r="F545" s="31"/>
      <c r="G545" s="31"/>
      <c r="H545" s="31"/>
    </row>
    <row r="546" spans="6:8" ht="12.75" customHeight="1" x14ac:dyDescent="0.2">
      <c r="F546" s="31"/>
      <c r="G546" s="31"/>
      <c r="H546" s="31"/>
    </row>
    <row r="547" spans="6:8" ht="12.75" customHeight="1" x14ac:dyDescent="0.2">
      <c r="F547" s="31"/>
      <c r="G547" s="31"/>
      <c r="H547" s="31"/>
    </row>
    <row r="548" spans="6:8" ht="12.75" customHeight="1" x14ac:dyDescent="0.2">
      <c r="F548" s="31"/>
      <c r="G548" s="31"/>
      <c r="H548" s="31"/>
    </row>
    <row r="549" spans="6:8" ht="12.75" customHeight="1" x14ac:dyDescent="0.2">
      <c r="F549" s="31"/>
      <c r="G549" s="31"/>
      <c r="H549" s="31"/>
    </row>
    <row r="550" spans="6:8" ht="12.75" customHeight="1" x14ac:dyDescent="0.2">
      <c r="F550" s="31"/>
      <c r="G550" s="31"/>
      <c r="H550" s="31"/>
    </row>
    <row r="551" spans="6:8" ht="12.75" customHeight="1" x14ac:dyDescent="0.2">
      <c r="F551" s="31"/>
      <c r="G551" s="31"/>
      <c r="H551" s="31"/>
    </row>
    <row r="552" spans="6:8" ht="12.75" customHeight="1" x14ac:dyDescent="0.2">
      <c r="F552" s="31"/>
      <c r="G552" s="31"/>
      <c r="H552" s="31"/>
    </row>
    <row r="553" spans="6:8" ht="12.75" customHeight="1" x14ac:dyDescent="0.2">
      <c r="F553" s="31"/>
      <c r="G553" s="31"/>
      <c r="H553" s="31"/>
    </row>
    <row r="554" spans="6:8" ht="12.75" customHeight="1" x14ac:dyDescent="0.2">
      <c r="F554" s="31"/>
      <c r="G554" s="31"/>
      <c r="H554" s="31"/>
    </row>
    <row r="555" spans="6:8" ht="12.75" customHeight="1" x14ac:dyDescent="0.2">
      <c r="F555" s="31"/>
      <c r="G555" s="31"/>
      <c r="H555" s="31"/>
    </row>
    <row r="556" spans="6:8" ht="12.75" customHeight="1" x14ac:dyDescent="0.2">
      <c r="F556" s="31"/>
      <c r="G556" s="31"/>
      <c r="H556" s="31"/>
    </row>
    <row r="557" spans="6:8" ht="12.75" customHeight="1" x14ac:dyDescent="0.2">
      <c r="F557" s="31"/>
      <c r="G557" s="31"/>
      <c r="H557" s="31"/>
    </row>
    <row r="558" spans="6:8" ht="12.75" customHeight="1" x14ac:dyDescent="0.2">
      <c r="F558" s="31"/>
      <c r="G558" s="31"/>
      <c r="H558" s="31"/>
    </row>
    <row r="559" spans="6:8" ht="12.75" customHeight="1" x14ac:dyDescent="0.2">
      <c r="F559" s="31"/>
      <c r="G559" s="31"/>
      <c r="H559" s="31"/>
    </row>
    <row r="560" spans="6:8" ht="12.75" customHeight="1" x14ac:dyDescent="0.2">
      <c r="F560" s="31"/>
      <c r="G560" s="31"/>
      <c r="H560" s="31"/>
    </row>
    <row r="561" spans="6:8" ht="12.75" customHeight="1" x14ac:dyDescent="0.2">
      <c r="F561" s="31"/>
      <c r="G561" s="31"/>
      <c r="H561" s="31"/>
    </row>
    <row r="562" spans="6:8" ht="12.75" customHeight="1" x14ac:dyDescent="0.2">
      <c r="F562" s="31"/>
      <c r="G562" s="31"/>
      <c r="H562" s="31"/>
    </row>
    <row r="563" spans="6:8" ht="12.75" customHeight="1" x14ac:dyDescent="0.2">
      <c r="F563" s="31"/>
      <c r="G563" s="31"/>
      <c r="H563" s="31"/>
    </row>
    <row r="564" spans="6:8" ht="12.75" customHeight="1" x14ac:dyDescent="0.2">
      <c r="F564" s="31"/>
      <c r="G564" s="31"/>
      <c r="H564" s="31"/>
    </row>
    <row r="565" spans="6:8" ht="12.75" customHeight="1" x14ac:dyDescent="0.2">
      <c r="F565" s="31"/>
      <c r="G565" s="31"/>
      <c r="H565" s="31"/>
    </row>
    <row r="566" spans="6:8" ht="12.75" customHeight="1" x14ac:dyDescent="0.2">
      <c r="F566" s="31"/>
      <c r="G566" s="31"/>
      <c r="H566" s="31"/>
    </row>
    <row r="567" spans="6:8" ht="12.75" customHeight="1" x14ac:dyDescent="0.2">
      <c r="F567" s="31"/>
      <c r="G567" s="31"/>
      <c r="H567" s="31"/>
    </row>
    <row r="568" spans="6:8" ht="12.75" customHeight="1" x14ac:dyDescent="0.2">
      <c r="F568" s="31"/>
      <c r="G568" s="31"/>
      <c r="H568" s="31"/>
    </row>
    <row r="569" spans="6:8" ht="12.75" customHeight="1" x14ac:dyDescent="0.2">
      <c r="F569" s="31"/>
      <c r="G569" s="31"/>
      <c r="H569" s="31"/>
    </row>
    <row r="570" spans="6:8" ht="12.75" customHeight="1" x14ac:dyDescent="0.2">
      <c r="F570" s="31"/>
      <c r="G570" s="31"/>
      <c r="H570" s="31"/>
    </row>
    <row r="571" spans="6:8" ht="12.75" customHeight="1" x14ac:dyDescent="0.2">
      <c r="F571" s="31"/>
      <c r="G571" s="31"/>
      <c r="H571" s="31"/>
    </row>
    <row r="572" spans="6:8" ht="12.75" customHeight="1" x14ac:dyDescent="0.2">
      <c r="F572" s="31"/>
      <c r="G572" s="31"/>
      <c r="H572" s="31"/>
    </row>
    <row r="573" spans="6:8" ht="12.75" customHeight="1" x14ac:dyDescent="0.2">
      <c r="F573" s="31"/>
      <c r="G573" s="31"/>
      <c r="H573" s="31"/>
    </row>
    <row r="574" spans="6:8" ht="12.75" customHeight="1" x14ac:dyDescent="0.2">
      <c r="F574" s="31"/>
      <c r="G574" s="31"/>
      <c r="H574" s="31"/>
    </row>
    <row r="575" spans="6:8" ht="12.75" customHeight="1" x14ac:dyDescent="0.2">
      <c r="F575" s="31"/>
      <c r="G575" s="31"/>
      <c r="H575" s="31"/>
    </row>
    <row r="576" spans="6:8" ht="12.75" customHeight="1" x14ac:dyDescent="0.2">
      <c r="F576" s="31"/>
      <c r="G576" s="31"/>
      <c r="H576" s="31"/>
    </row>
    <row r="577" spans="6:8" ht="12.75" customHeight="1" x14ac:dyDescent="0.2">
      <c r="F577" s="31"/>
      <c r="G577" s="31"/>
      <c r="H577" s="31"/>
    </row>
    <row r="578" spans="6:8" ht="12.75" customHeight="1" x14ac:dyDescent="0.2">
      <c r="F578" s="31"/>
      <c r="G578" s="31"/>
      <c r="H578" s="31"/>
    </row>
    <row r="579" spans="6:8" ht="12.75" customHeight="1" x14ac:dyDescent="0.2">
      <c r="F579" s="31"/>
      <c r="G579" s="31"/>
      <c r="H579" s="31"/>
    </row>
    <row r="580" spans="6:8" ht="12.75" customHeight="1" x14ac:dyDescent="0.2">
      <c r="F580" s="31"/>
      <c r="G580" s="31"/>
      <c r="H580" s="31"/>
    </row>
    <row r="581" spans="6:8" ht="12.75" customHeight="1" x14ac:dyDescent="0.2">
      <c r="F581" s="31"/>
      <c r="G581" s="31"/>
      <c r="H581" s="31"/>
    </row>
    <row r="582" spans="6:8" ht="12.75" customHeight="1" x14ac:dyDescent="0.2">
      <c r="F582" s="31"/>
      <c r="G582" s="31"/>
      <c r="H582" s="31"/>
    </row>
    <row r="583" spans="6:8" ht="12.75" customHeight="1" x14ac:dyDescent="0.2">
      <c r="F583" s="31"/>
      <c r="G583" s="31"/>
      <c r="H583" s="31"/>
    </row>
    <row r="584" spans="6:8" ht="12.75" customHeight="1" x14ac:dyDescent="0.2">
      <c r="F584" s="31"/>
      <c r="G584" s="31"/>
      <c r="H584" s="31"/>
    </row>
    <row r="585" spans="6:8" ht="12.75" customHeight="1" x14ac:dyDescent="0.2">
      <c r="F585" s="31"/>
      <c r="G585" s="31"/>
      <c r="H585" s="31"/>
    </row>
    <row r="586" spans="6:8" ht="12.75" customHeight="1" x14ac:dyDescent="0.2">
      <c r="F586" s="31"/>
      <c r="G586" s="31"/>
      <c r="H586" s="31"/>
    </row>
    <row r="587" spans="6:8" ht="12.75" customHeight="1" x14ac:dyDescent="0.2">
      <c r="F587" s="31"/>
      <c r="G587" s="31"/>
      <c r="H587" s="31"/>
    </row>
    <row r="588" spans="6:8" ht="12.75" customHeight="1" x14ac:dyDescent="0.2">
      <c r="F588" s="31"/>
      <c r="G588" s="31"/>
      <c r="H588" s="31"/>
    </row>
    <row r="589" spans="6:8" ht="12.75" customHeight="1" x14ac:dyDescent="0.2">
      <c r="F589" s="31"/>
      <c r="G589" s="31"/>
      <c r="H589" s="31"/>
    </row>
    <row r="590" spans="6:8" ht="12.75" customHeight="1" x14ac:dyDescent="0.2">
      <c r="F590" s="31"/>
      <c r="G590" s="31"/>
      <c r="H590" s="31"/>
    </row>
    <row r="591" spans="6:8" ht="12.75" customHeight="1" x14ac:dyDescent="0.2">
      <c r="F591" s="31"/>
      <c r="G591" s="31"/>
      <c r="H591" s="31"/>
    </row>
    <row r="592" spans="6:8" ht="12.75" customHeight="1" x14ac:dyDescent="0.2">
      <c r="F592" s="31"/>
      <c r="G592" s="31"/>
      <c r="H592" s="31"/>
    </row>
    <row r="593" spans="6:8" ht="12.75" customHeight="1" x14ac:dyDescent="0.2">
      <c r="F593" s="31"/>
      <c r="G593" s="31"/>
      <c r="H593" s="31"/>
    </row>
    <row r="594" spans="6:8" ht="12.75" customHeight="1" x14ac:dyDescent="0.2">
      <c r="F594" s="31"/>
      <c r="G594" s="31"/>
      <c r="H594" s="31"/>
    </row>
    <row r="595" spans="6:8" ht="12.75" customHeight="1" x14ac:dyDescent="0.2">
      <c r="F595" s="31"/>
      <c r="G595" s="31"/>
      <c r="H595" s="31"/>
    </row>
    <row r="596" spans="6:8" ht="12.75" customHeight="1" x14ac:dyDescent="0.2">
      <c r="F596" s="31"/>
      <c r="G596" s="31"/>
      <c r="H596" s="31"/>
    </row>
    <row r="597" spans="6:8" ht="12.75" customHeight="1" x14ac:dyDescent="0.2">
      <c r="F597" s="31"/>
      <c r="G597" s="31"/>
      <c r="H597" s="31"/>
    </row>
    <row r="598" spans="6:8" ht="12.75" customHeight="1" x14ac:dyDescent="0.2">
      <c r="F598" s="31"/>
      <c r="G598" s="31"/>
      <c r="H598" s="31"/>
    </row>
    <row r="599" spans="6:8" ht="12.75" customHeight="1" x14ac:dyDescent="0.2">
      <c r="F599" s="31"/>
      <c r="G599" s="31"/>
      <c r="H599" s="31"/>
    </row>
    <row r="600" spans="6:8" ht="12.75" customHeight="1" x14ac:dyDescent="0.2">
      <c r="F600" s="31"/>
      <c r="G600" s="31"/>
      <c r="H600" s="31"/>
    </row>
    <row r="601" spans="6:8" ht="12.75" customHeight="1" x14ac:dyDescent="0.2">
      <c r="F601" s="31"/>
      <c r="G601" s="31"/>
      <c r="H601" s="31"/>
    </row>
    <row r="602" spans="6:8" ht="12.75" customHeight="1" x14ac:dyDescent="0.2">
      <c r="F602" s="31"/>
      <c r="G602" s="31"/>
      <c r="H602" s="31"/>
    </row>
    <row r="603" spans="6:8" ht="12.75" customHeight="1" x14ac:dyDescent="0.2">
      <c r="F603" s="31"/>
      <c r="G603" s="31"/>
      <c r="H603" s="31"/>
    </row>
    <row r="604" spans="6:8" ht="12.75" customHeight="1" x14ac:dyDescent="0.2">
      <c r="F604" s="31"/>
      <c r="G604" s="31"/>
      <c r="H604" s="31"/>
    </row>
    <row r="605" spans="6:8" ht="12.75" customHeight="1" x14ac:dyDescent="0.2">
      <c r="F605" s="31"/>
      <c r="G605" s="31"/>
      <c r="H605" s="31"/>
    </row>
    <row r="606" spans="6:8" ht="12.75" customHeight="1" x14ac:dyDescent="0.2">
      <c r="F606" s="31"/>
      <c r="G606" s="31"/>
      <c r="H606" s="31"/>
    </row>
    <row r="607" spans="6:8" ht="12.75" customHeight="1" x14ac:dyDescent="0.2">
      <c r="F607" s="31"/>
      <c r="G607" s="31"/>
      <c r="H607" s="31"/>
    </row>
    <row r="608" spans="6:8" ht="12.75" customHeight="1" x14ac:dyDescent="0.2">
      <c r="F608" s="31"/>
      <c r="G608" s="31"/>
      <c r="H608" s="31"/>
    </row>
    <row r="609" spans="6:8" ht="12.75" customHeight="1" x14ac:dyDescent="0.2">
      <c r="F609" s="31"/>
      <c r="G609" s="31"/>
      <c r="H609" s="31"/>
    </row>
    <row r="610" spans="6:8" ht="12.75" customHeight="1" x14ac:dyDescent="0.2">
      <c r="F610" s="31"/>
      <c r="G610" s="31"/>
      <c r="H610" s="31"/>
    </row>
    <row r="611" spans="6:8" ht="12.75" customHeight="1" x14ac:dyDescent="0.2">
      <c r="F611" s="31"/>
      <c r="G611" s="31"/>
      <c r="H611" s="31"/>
    </row>
    <row r="612" spans="6:8" ht="12.75" customHeight="1" x14ac:dyDescent="0.2">
      <c r="F612" s="31"/>
      <c r="G612" s="31"/>
      <c r="H612" s="31"/>
    </row>
    <row r="613" spans="6:8" ht="12.75" customHeight="1" x14ac:dyDescent="0.2">
      <c r="F613" s="31"/>
      <c r="G613" s="31"/>
      <c r="H613" s="31"/>
    </row>
    <row r="614" spans="6:8" ht="12.75" customHeight="1" x14ac:dyDescent="0.2">
      <c r="F614" s="31"/>
      <c r="G614" s="31"/>
      <c r="H614" s="31"/>
    </row>
    <row r="615" spans="6:8" ht="12.75" customHeight="1" x14ac:dyDescent="0.2">
      <c r="F615" s="31"/>
      <c r="G615" s="31"/>
      <c r="H615" s="31"/>
    </row>
    <row r="616" spans="6:8" ht="12.75" customHeight="1" x14ac:dyDescent="0.2">
      <c r="F616" s="31"/>
      <c r="G616" s="31"/>
      <c r="H616" s="31"/>
    </row>
    <row r="617" spans="6:8" ht="12.75" customHeight="1" x14ac:dyDescent="0.2">
      <c r="F617" s="31"/>
      <c r="G617" s="31"/>
      <c r="H617" s="31"/>
    </row>
    <row r="618" spans="6:8" ht="12.75" customHeight="1" x14ac:dyDescent="0.2">
      <c r="F618" s="31"/>
      <c r="G618" s="31"/>
      <c r="H618" s="31"/>
    </row>
    <row r="619" spans="6:8" ht="12.75" customHeight="1" x14ac:dyDescent="0.2">
      <c r="F619" s="31"/>
      <c r="G619" s="31"/>
      <c r="H619" s="31"/>
    </row>
    <row r="620" spans="6:8" ht="12.75" customHeight="1" x14ac:dyDescent="0.2">
      <c r="F620" s="31"/>
      <c r="G620" s="31"/>
      <c r="H620" s="31"/>
    </row>
    <row r="621" spans="6:8" ht="12.75" customHeight="1" x14ac:dyDescent="0.2">
      <c r="F621" s="31"/>
      <c r="G621" s="31"/>
      <c r="H621" s="31"/>
    </row>
    <row r="622" spans="6:8" ht="12.75" customHeight="1" x14ac:dyDescent="0.2">
      <c r="F622" s="31"/>
      <c r="G622" s="31"/>
      <c r="H622" s="31"/>
    </row>
    <row r="623" spans="6:8" ht="12.75" customHeight="1" x14ac:dyDescent="0.2">
      <c r="F623" s="31"/>
      <c r="G623" s="31"/>
      <c r="H623" s="31"/>
    </row>
    <row r="624" spans="6:8" ht="12.75" customHeight="1" x14ac:dyDescent="0.2">
      <c r="F624" s="31"/>
      <c r="G624" s="31"/>
      <c r="H624" s="31"/>
    </row>
    <row r="625" spans="6:8" ht="12.75" customHeight="1" x14ac:dyDescent="0.2">
      <c r="F625" s="31"/>
      <c r="G625" s="31"/>
      <c r="H625" s="31"/>
    </row>
    <row r="626" spans="6:8" ht="12.75" customHeight="1" x14ac:dyDescent="0.2">
      <c r="F626" s="31"/>
      <c r="G626" s="31"/>
      <c r="H626" s="31"/>
    </row>
    <row r="627" spans="6:8" ht="12.75" customHeight="1" x14ac:dyDescent="0.2">
      <c r="F627" s="31"/>
      <c r="G627" s="31"/>
      <c r="H627" s="31"/>
    </row>
    <row r="628" spans="6:8" ht="12.75" customHeight="1" x14ac:dyDescent="0.2">
      <c r="F628" s="31"/>
      <c r="G628" s="31"/>
      <c r="H628" s="31"/>
    </row>
    <row r="629" spans="6:8" ht="12.75" customHeight="1" x14ac:dyDescent="0.2">
      <c r="F629" s="31"/>
      <c r="G629" s="31"/>
      <c r="H629" s="31"/>
    </row>
    <row r="630" spans="6:8" ht="12.75" customHeight="1" x14ac:dyDescent="0.2">
      <c r="F630" s="31"/>
      <c r="G630" s="31"/>
      <c r="H630" s="31"/>
    </row>
    <row r="631" spans="6:8" ht="12.75" customHeight="1" x14ac:dyDescent="0.2">
      <c r="F631" s="31"/>
      <c r="G631" s="31"/>
      <c r="H631" s="31"/>
    </row>
    <row r="632" spans="6:8" ht="12.75" customHeight="1" x14ac:dyDescent="0.2">
      <c r="F632" s="31"/>
      <c r="G632" s="31"/>
      <c r="H632" s="31"/>
    </row>
    <row r="633" spans="6:8" ht="12.75" customHeight="1" x14ac:dyDescent="0.2">
      <c r="F633" s="31"/>
      <c r="G633" s="31"/>
      <c r="H633" s="31"/>
    </row>
    <row r="634" spans="6:8" ht="12.75" customHeight="1" x14ac:dyDescent="0.2">
      <c r="F634" s="31"/>
      <c r="G634" s="31"/>
      <c r="H634" s="31"/>
    </row>
    <row r="635" spans="6:8" ht="12.75" customHeight="1" x14ac:dyDescent="0.2">
      <c r="F635" s="31"/>
      <c r="G635" s="31"/>
      <c r="H635" s="31"/>
    </row>
    <row r="636" spans="6:8" ht="12.75" customHeight="1" x14ac:dyDescent="0.2">
      <c r="F636" s="31"/>
      <c r="G636" s="31"/>
      <c r="H636" s="31"/>
    </row>
    <row r="637" spans="6:8" ht="12.75" customHeight="1" x14ac:dyDescent="0.2">
      <c r="F637" s="31"/>
      <c r="G637" s="31"/>
      <c r="H637" s="31"/>
    </row>
    <row r="638" spans="6:8" ht="12.75" customHeight="1" x14ac:dyDescent="0.2">
      <c r="F638" s="31"/>
      <c r="G638" s="31"/>
      <c r="H638" s="31"/>
    </row>
    <row r="639" spans="6:8" ht="12.75" customHeight="1" x14ac:dyDescent="0.2">
      <c r="F639" s="31"/>
      <c r="G639" s="31"/>
      <c r="H639" s="31"/>
    </row>
    <row r="640" spans="6:8" ht="12.75" customHeight="1" x14ac:dyDescent="0.2">
      <c r="F640" s="31"/>
      <c r="G640" s="31"/>
      <c r="H640" s="31"/>
    </row>
    <row r="641" spans="6:8" ht="12.75" customHeight="1" x14ac:dyDescent="0.2">
      <c r="F641" s="31"/>
      <c r="G641" s="31"/>
      <c r="H641" s="31"/>
    </row>
    <row r="642" spans="6:8" ht="12.75" customHeight="1" x14ac:dyDescent="0.2">
      <c r="F642" s="31"/>
      <c r="G642" s="31"/>
      <c r="H642" s="31"/>
    </row>
    <row r="643" spans="6:8" ht="12.75" customHeight="1" x14ac:dyDescent="0.2">
      <c r="F643" s="31"/>
      <c r="G643" s="31"/>
      <c r="H643" s="31"/>
    </row>
    <row r="644" spans="6:8" ht="12.75" customHeight="1" x14ac:dyDescent="0.2">
      <c r="F644" s="31"/>
      <c r="G644" s="31"/>
      <c r="H644" s="31"/>
    </row>
    <row r="645" spans="6:8" ht="12.75" customHeight="1" x14ac:dyDescent="0.2">
      <c r="F645" s="31"/>
      <c r="G645" s="31"/>
      <c r="H645" s="31"/>
    </row>
    <row r="646" spans="6:8" ht="12.75" customHeight="1" x14ac:dyDescent="0.2">
      <c r="F646" s="31"/>
      <c r="G646" s="31"/>
      <c r="H646" s="31"/>
    </row>
    <row r="647" spans="6:8" ht="12.75" customHeight="1" x14ac:dyDescent="0.2">
      <c r="F647" s="31"/>
      <c r="G647" s="31"/>
      <c r="H647" s="31"/>
    </row>
    <row r="648" spans="6:8" ht="12.75" customHeight="1" x14ac:dyDescent="0.2">
      <c r="F648" s="31"/>
      <c r="G648" s="31"/>
      <c r="H648" s="31"/>
    </row>
    <row r="649" spans="6:8" ht="12.75" customHeight="1" x14ac:dyDescent="0.2">
      <c r="F649" s="31"/>
      <c r="G649" s="31"/>
      <c r="H649" s="31"/>
    </row>
    <row r="650" spans="6:8" ht="12.75" customHeight="1" x14ac:dyDescent="0.2">
      <c r="F650" s="31"/>
      <c r="G650" s="31"/>
      <c r="H650" s="31"/>
    </row>
    <row r="651" spans="6:8" ht="12.75" customHeight="1" x14ac:dyDescent="0.2">
      <c r="F651" s="31"/>
      <c r="G651" s="31"/>
      <c r="H651" s="31"/>
    </row>
    <row r="652" spans="6:8" ht="12.75" customHeight="1" x14ac:dyDescent="0.2">
      <c r="F652" s="31"/>
      <c r="G652" s="31"/>
      <c r="H652" s="31"/>
    </row>
    <row r="653" spans="6:8" ht="12.75" customHeight="1" x14ac:dyDescent="0.2">
      <c r="F653" s="31"/>
      <c r="G653" s="31"/>
      <c r="H653" s="31"/>
    </row>
    <row r="654" spans="6:8" ht="12.75" customHeight="1" x14ac:dyDescent="0.2">
      <c r="F654" s="31"/>
      <c r="G654" s="31"/>
      <c r="H654" s="31"/>
    </row>
    <row r="655" spans="6:8" ht="12.75" customHeight="1" x14ac:dyDescent="0.2">
      <c r="F655" s="31"/>
      <c r="G655" s="31"/>
      <c r="H655" s="31"/>
    </row>
    <row r="656" spans="6:8" ht="12.75" customHeight="1" x14ac:dyDescent="0.2">
      <c r="F656" s="31"/>
      <c r="G656" s="31"/>
      <c r="H656" s="31"/>
    </row>
    <row r="657" spans="6:8" ht="12.75" customHeight="1" x14ac:dyDescent="0.2">
      <c r="F657" s="31"/>
      <c r="G657" s="31"/>
      <c r="H657" s="31"/>
    </row>
    <row r="658" spans="6:8" ht="12.75" customHeight="1" x14ac:dyDescent="0.2">
      <c r="F658" s="31"/>
      <c r="G658" s="31"/>
      <c r="H658" s="31"/>
    </row>
    <row r="659" spans="6:8" ht="12.75" customHeight="1" x14ac:dyDescent="0.2">
      <c r="F659" s="31"/>
      <c r="G659" s="31"/>
      <c r="H659" s="31"/>
    </row>
    <row r="660" spans="6:8" ht="12.75" customHeight="1" x14ac:dyDescent="0.2">
      <c r="F660" s="31"/>
      <c r="G660" s="31"/>
      <c r="H660" s="31"/>
    </row>
    <row r="661" spans="6:8" ht="12.75" customHeight="1" x14ac:dyDescent="0.2">
      <c r="F661" s="31"/>
      <c r="G661" s="31"/>
      <c r="H661" s="31"/>
    </row>
    <row r="662" spans="6:8" ht="12.75" customHeight="1" x14ac:dyDescent="0.2">
      <c r="F662" s="31"/>
      <c r="G662" s="31"/>
      <c r="H662" s="31"/>
    </row>
    <row r="663" spans="6:8" ht="12.75" customHeight="1" x14ac:dyDescent="0.2">
      <c r="F663" s="31"/>
      <c r="G663" s="31"/>
      <c r="H663" s="31"/>
    </row>
    <row r="664" spans="6:8" ht="12.75" customHeight="1" x14ac:dyDescent="0.2">
      <c r="F664" s="31"/>
      <c r="G664" s="31"/>
      <c r="H664" s="31"/>
    </row>
    <row r="665" spans="6:8" ht="12.75" customHeight="1" x14ac:dyDescent="0.2">
      <c r="F665" s="31"/>
      <c r="G665" s="31"/>
      <c r="H665" s="31"/>
    </row>
    <row r="666" spans="6:8" ht="12.75" customHeight="1" x14ac:dyDescent="0.2">
      <c r="F666" s="31"/>
      <c r="G666" s="31"/>
      <c r="H666" s="31"/>
    </row>
    <row r="667" spans="6:8" ht="12.75" customHeight="1" x14ac:dyDescent="0.2">
      <c r="F667" s="31"/>
      <c r="G667" s="31"/>
      <c r="H667" s="31"/>
    </row>
    <row r="668" spans="6:8" ht="12.75" customHeight="1" x14ac:dyDescent="0.2">
      <c r="F668" s="31"/>
      <c r="G668" s="31"/>
      <c r="H668" s="31"/>
    </row>
    <row r="669" spans="6:8" ht="12.75" customHeight="1" x14ac:dyDescent="0.2">
      <c r="F669" s="31"/>
      <c r="G669" s="31"/>
      <c r="H669" s="31"/>
    </row>
    <row r="670" spans="6:8" ht="12.75" customHeight="1" x14ac:dyDescent="0.2">
      <c r="F670" s="31"/>
      <c r="G670" s="31"/>
      <c r="H670" s="31"/>
    </row>
    <row r="671" spans="6:8" ht="12.75" customHeight="1" x14ac:dyDescent="0.2">
      <c r="F671" s="31"/>
      <c r="G671" s="31"/>
      <c r="H671" s="31"/>
    </row>
    <row r="672" spans="6:8" ht="12.75" customHeight="1" x14ac:dyDescent="0.2">
      <c r="F672" s="31"/>
      <c r="G672" s="31"/>
      <c r="H672" s="31"/>
    </row>
    <row r="673" spans="6:8" ht="12.75" customHeight="1" x14ac:dyDescent="0.2">
      <c r="F673" s="31"/>
      <c r="G673" s="31"/>
      <c r="H673" s="31"/>
    </row>
    <row r="674" spans="6:8" ht="12.75" customHeight="1" x14ac:dyDescent="0.2">
      <c r="F674" s="31"/>
      <c r="G674" s="31"/>
      <c r="H674" s="31"/>
    </row>
    <row r="675" spans="6:8" ht="12.75" customHeight="1" x14ac:dyDescent="0.2">
      <c r="F675" s="31"/>
      <c r="G675" s="31"/>
      <c r="H675" s="31"/>
    </row>
    <row r="676" spans="6:8" ht="12.75" customHeight="1" x14ac:dyDescent="0.2">
      <c r="F676" s="31"/>
      <c r="G676" s="31"/>
      <c r="H676" s="31"/>
    </row>
    <row r="677" spans="6:8" ht="12.75" customHeight="1" x14ac:dyDescent="0.2">
      <c r="F677" s="31"/>
      <c r="G677" s="31"/>
      <c r="H677" s="31"/>
    </row>
    <row r="678" spans="6:8" ht="12.75" customHeight="1" x14ac:dyDescent="0.2">
      <c r="F678" s="31"/>
      <c r="G678" s="31"/>
      <c r="H678" s="31"/>
    </row>
    <row r="679" spans="6:8" ht="12.75" customHeight="1" x14ac:dyDescent="0.2">
      <c r="F679" s="31"/>
      <c r="G679" s="31"/>
      <c r="H679" s="31"/>
    </row>
    <row r="680" spans="6:8" ht="12.75" customHeight="1" x14ac:dyDescent="0.2">
      <c r="F680" s="31"/>
      <c r="G680" s="31"/>
      <c r="H680" s="31"/>
    </row>
    <row r="681" spans="6:8" ht="12.75" customHeight="1" x14ac:dyDescent="0.2">
      <c r="F681" s="31"/>
      <c r="G681" s="31"/>
      <c r="H681" s="31"/>
    </row>
    <row r="682" spans="6:8" ht="12.75" customHeight="1" x14ac:dyDescent="0.2">
      <c r="F682" s="31"/>
      <c r="G682" s="31"/>
      <c r="H682" s="31"/>
    </row>
    <row r="683" spans="6:8" ht="12.75" customHeight="1" x14ac:dyDescent="0.2">
      <c r="F683" s="31"/>
      <c r="G683" s="31"/>
      <c r="H683" s="31"/>
    </row>
    <row r="684" spans="6:8" ht="12.75" customHeight="1" x14ac:dyDescent="0.2">
      <c r="F684" s="31"/>
      <c r="G684" s="31"/>
      <c r="H684" s="31"/>
    </row>
    <row r="685" spans="6:8" ht="12.75" customHeight="1" x14ac:dyDescent="0.2">
      <c r="F685" s="31"/>
      <c r="G685" s="31"/>
      <c r="H685" s="31"/>
    </row>
    <row r="686" spans="6:8" ht="12.75" customHeight="1" x14ac:dyDescent="0.2">
      <c r="F686" s="31"/>
      <c r="G686" s="31"/>
      <c r="H686" s="31"/>
    </row>
    <row r="687" spans="6:8" ht="12.75" customHeight="1" x14ac:dyDescent="0.2">
      <c r="F687" s="31"/>
      <c r="G687" s="31"/>
      <c r="H687" s="31"/>
    </row>
    <row r="688" spans="6:8" ht="12.75" customHeight="1" x14ac:dyDescent="0.2">
      <c r="F688" s="31"/>
      <c r="G688" s="31"/>
      <c r="H688" s="31"/>
    </row>
    <row r="689" spans="6:8" ht="12.75" customHeight="1" x14ac:dyDescent="0.2">
      <c r="F689" s="31"/>
      <c r="G689" s="31"/>
      <c r="H689" s="31"/>
    </row>
    <row r="690" spans="6:8" ht="12.75" customHeight="1" x14ac:dyDescent="0.2">
      <c r="F690" s="31"/>
      <c r="G690" s="31"/>
      <c r="H690" s="31"/>
    </row>
    <row r="691" spans="6:8" ht="12.75" customHeight="1" x14ac:dyDescent="0.2">
      <c r="F691" s="31"/>
      <c r="G691" s="31"/>
      <c r="H691" s="31"/>
    </row>
    <row r="692" spans="6:8" ht="12.75" customHeight="1" x14ac:dyDescent="0.2">
      <c r="F692" s="31"/>
      <c r="G692" s="31"/>
      <c r="H692" s="31"/>
    </row>
    <row r="693" spans="6:8" ht="12.75" customHeight="1" x14ac:dyDescent="0.2">
      <c r="F693" s="31"/>
      <c r="G693" s="31"/>
      <c r="H693" s="31"/>
    </row>
    <row r="694" spans="6:8" ht="12.75" customHeight="1" x14ac:dyDescent="0.2">
      <c r="F694" s="31"/>
      <c r="G694" s="31"/>
      <c r="H694" s="31"/>
    </row>
    <row r="695" spans="6:8" ht="12.75" customHeight="1" x14ac:dyDescent="0.2">
      <c r="F695" s="31"/>
      <c r="G695" s="31"/>
      <c r="H695" s="31"/>
    </row>
    <row r="696" spans="6:8" ht="12.75" customHeight="1" x14ac:dyDescent="0.2">
      <c r="F696" s="31"/>
      <c r="G696" s="31"/>
      <c r="H696" s="31"/>
    </row>
    <row r="697" spans="6:8" ht="12.75" customHeight="1" x14ac:dyDescent="0.2">
      <c r="F697" s="31"/>
      <c r="G697" s="31"/>
      <c r="H697" s="31"/>
    </row>
    <row r="698" spans="6:8" ht="12.75" customHeight="1" x14ac:dyDescent="0.2">
      <c r="F698" s="31"/>
      <c r="G698" s="31"/>
      <c r="H698" s="31"/>
    </row>
    <row r="699" spans="6:8" ht="12.75" customHeight="1" x14ac:dyDescent="0.2">
      <c r="F699" s="31"/>
      <c r="G699" s="31"/>
      <c r="H699" s="31"/>
    </row>
    <row r="700" spans="6:8" ht="12.75" customHeight="1" x14ac:dyDescent="0.2">
      <c r="F700" s="31"/>
      <c r="G700" s="31"/>
      <c r="H700" s="31"/>
    </row>
    <row r="701" spans="6:8" ht="12.75" customHeight="1" x14ac:dyDescent="0.2">
      <c r="F701" s="31"/>
      <c r="G701" s="31"/>
      <c r="H701" s="31"/>
    </row>
    <row r="702" spans="6:8" ht="12.75" customHeight="1" x14ac:dyDescent="0.2">
      <c r="F702" s="31"/>
      <c r="G702" s="31"/>
      <c r="H702" s="31"/>
    </row>
    <row r="703" spans="6:8" ht="12.75" customHeight="1" x14ac:dyDescent="0.2">
      <c r="F703" s="31"/>
      <c r="G703" s="31"/>
      <c r="H703" s="31"/>
    </row>
    <row r="704" spans="6:8" ht="12.75" customHeight="1" x14ac:dyDescent="0.2">
      <c r="F704" s="31"/>
      <c r="G704" s="31"/>
      <c r="H704" s="31"/>
    </row>
    <row r="705" spans="6:8" ht="12.75" customHeight="1" x14ac:dyDescent="0.2">
      <c r="F705" s="31"/>
      <c r="G705" s="31"/>
      <c r="H705" s="31"/>
    </row>
    <row r="706" spans="6:8" ht="12.75" customHeight="1" x14ac:dyDescent="0.2">
      <c r="F706" s="31"/>
      <c r="G706" s="31"/>
      <c r="H706" s="31"/>
    </row>
    <row r="707" spans="6:8" ht="12.75" customHeight="1" x14ac:dyDescent="0.2">
      <c r="F707" s="31"/>
      <c r="G707" s="31"/>
      <c r="H707" s="31"/>
    </row>
    <row r="708" spans="6:8" ht="12.75" customHeight="1" x14ac:dyDescent="0.2">
      <c r="F708" s="31"/>
      <c r="G708" s="31"/>
      <c r="H708" s="31"/>
    </row>
    <row r="709" spans="6:8" ht="12.75" customHeight="1" x14ac:dyDescent="0.2">
      <c r="F709" s="31"/>
      <c r="G709" s="31"/>
      <c r="H709" s="31"/>
    </row>
    <row r="710" spans="6:8" ht="12.75" customHeight="1" x14ac:dyDescent="0.2">
      <c r="F710" s="31"/>
      <c r="G710" s="31"/>
      <c r="H710" s="31"/>
    </row>
    <row r="711" spans="6:8" ht="12.75" customHeight="1" x14ac:dyDescent="0.2">
      <c r="F711" s="31"/>
      <c r="G711" s="31"/>
      <c r="H711" s="31"/>
    </row>
    <row r="712" spans="6:8" ht="12.75" customHeight="1" x14ac:dyDescent="0.2">
      <c r="F712" s="31"/>
      <c r="G712" s="31"/>
      <c r="H712" s="31"/>
    </row>
    <row r="713" spans="6:8" ht="12.75" customHeight="1" x14ac:dyDescent="0.2">
      <c r="F713" s="31"/>
      <c r="G713" s="31"/>
      <c r="H713" s="31"/>
    </row>
    <row r="714" spans="6:8" ht="12.75" customHeight="1" x14ac:dyDescent="0.2">
      <c r="F714" s="31"/>
      <c r="G714" s="31"/>
      <c r="H714" s="31"/>
    </row>
    <row r="715" spans="6:8" ht="12.75" customHeight="1" x14ac:dyDescent="0.2">
      <c r="F715" s="31"/>
      <c r="G715" s="31"/>
      <c r="H715" s="31"/>
    </row>
    <row r="716" spans="6:8" ht="12.75" customHeight="1" x14ac:dyDescent="0.2">
      <c r="F716" s="31"/>
      <c r="G716" s="31"/>
      <c r="H716" s="31"/>
    </row>
    <row r="717" spans="6:8" ht="12.75" customHeight="1" x14ac:dyDescent="0.2">
      <c r="F717" s="31"/>
      <c r="G717" s="31"/>
      <c r="H717" s="31"/>
    </row>
    <row r="718" spans="6:8" ht="12.75" customHeight="1" x14ac:dyDescent="0.2">
      <c r="F718" s="31"/>
      <c r="G718" s="31"/>
      <c r="H718" s="31"/>
    </row>
    <row r="719" spans="6:8" ht="12.75" customHeight="1" x14ac:dyDescent="0.2">
      <c r="F719" s="31"/>
      <c r="G719" s="31"/>
      <c r="H719" s="31"/>
    </row>
    <row r="720" spans="6:8" ht="12.75" customHeight="1" x14ac:dyDescent="0.2">
      <c r="F720" s="31"/>
      <c r="G720" s="31"/>
      <c r="H720" s="31"/>
    </row>
    <row r="721" spans="6:8" ht="12.75" customHeight="1" x14ac:dyDescent="0.2">
      <c r="F721" s="31"/>
      <c r="G721" s="31"/>
      <c r="H721" s="31"/>
    </row>
    <row r="722" spans="6:8" ht="12.75" customHeight="1" x14ac:dyDescent="0.2">
      <c r="F722" s="31"/>
      <c r="G722" s="31"/>
      <c r="H722" s="31"/>
    </row>
    <row r="723" spans="6:8" ht="12.75" customHeight="1" x14ac:dyDescent="0.2">
      <c r="F723" s="31"/>
      <c r="G723" s="31"/>
      <c r="H723" s="31"/>
    </row>
    <row r="724" spans="6:8" ht="12.75" customHeight="1" x14ac:dyDescent="0.2">
      <c r="F724" s="31"/>
      <c r="G724" s="31"/>
      <c r="H724" s="31"/>
    </row>
    <row r="725" spans="6:8" ht="12.75" customHeight="1" x14ac:dyDescent="0.2">
      <c r="F725" s="31"/>
      <c r="G725" s="31"/>
      <c r="H725" s="31"/>
    </row>
    <row r="726" spans="6:8" ht="12.75" customHeight="1" x14ac:dyDescent="0.2">
      <c r="F726" s="31"/>
      <c r="G726" s="31"/>
      <c r="H726" s="31"/>
    </row>
    <row r="727" spans="6:8" ht="12.75" customHeight="1" x14ac:dyDescent="0.2">
      <c r="F727" s="31"/>
      <c r="G727" s="31"/>
      <c r="H727" s="31"/>
    </row>
    <row r="728" spans="6:8" ht="12.75" customHeight="1" x14ac:dyDescent="0.2">
      <c r="F728" s="31"/>
      <c r="G728" s="31"/>
      <c r="H728" s="31"/>
    </row>
    <row r="729" spans="6:8" ht="12.75" customHeight="1" x14ac:dyDescent="0.2">
      <c r="F729" s="31"/>
      <c r="G729" s="31"/>
      <c r="H729" s="31"/>
    </row>
    <row r="730" spans="6:8" ht="12.75" customHeight="1" x14ac:dyDescent="0.2">
      <c r="F730" s="31"/>
      <c r="G730" s="31"/>
      <c r="H730" s="31"/>
    </row>
    <row r="731" spans="6:8" ht="12.75" customHeight="1" x14ac:dyDescent="0.2">
      <c r="F731" s="31"/>
      <c r="G731" s="31"/>
      <c r="H731" s="31"/>
    </row>
    <row r="732" spans="6:8" ht="12.75" customHeight="1" x14ac:dyDescent="0.2">
      <c r="F732" s="31"/>
      <c r="G732" s="31"/>
      <c r="H732" s="31"/>
    </row>
    <row r="733" spans="6:8" ht="12.75" customHeight="1" x14ac:dyDescent="0.2">
      <c r="F733" s="31"/>
      <c r="G733" s="31"/>
      <c r="H733" s="31"/>
    </row>
    <row r="734" spans="6:8" ht="12.75" customHeight="1" x14ac:dyDescent="0.2">
      <c r="F734" s="31"/>
      <c r="G734" s="31"/>
      <c r="H734" s="31"/>
    </row>
    <row r="735" spans="6:8" ht="12.75" customHeight="1" x14ac:dyDescent="0.2">
      <c r="F735" s="31"/>
      <c r="G735" s="31"/>
      <c r="H735" s="31"/>
    </row>
    <row r="736" spans="6:8" ht="12.75" customHeight="1" x14ac:dyDescent="0.2">
      <c r="F736" s="31"/>
      <c r="G736" s="31"/>
      <c r="H736" s="31"/>
    </row>
    <row r="737" spans="6:8" ht="12.75" customHeight="1" x14ac:dyDescent="0.2">
      <c r="F737" s="31"/>
      <c r="G737" s="31"/>
      <c r="H737" s="31"/>
    </row>
    <row r="738" spans="6:8" ht="12.75" customHeight="1" x14ac:dyDescent="0.2">
      <c r="F738" s="31"/>
      <c r="G738" s="31"/>
      <c r="H738" s="31"/>
    </row>
    <row r="739" spans="6:8" ht="12.75" customHeight="1" x14ac:dyDescent="0.2">
      <c r="F739" s="31"/>
      <c r="G739" s="31"/>
      <c r="H739" s="31"/>
    </row>
    <row r="740" spans="6:8" ht="12.75" customHeight="1" x14ac:dyDescent="0.2">
      <c r="F740" s="31"/>
      <c r="G740" s="31"/>
      <c r="H740" s="31"/>
    </row>
    <row r="741" spans="6:8" ht="12.75" customHeight="1" x14ac:dyDescent="0.2">
      <c r="F741" s="31"/>
      <c r="G741" s="31"/>
      <c r="H741" s="31"/>
    </row>
    <row r="742" spans="6:8" ht="12.75" customHeight="1" x14ac:dyDescent="0.2">
      <c r="F742" s="31"/>
      <c r="G742" s="31"/>
      <c r="H742" s="31"/>
    </row>
    <row r="743" spans="6:8" ht="12.75" customHeight="1" x14ac:dyDescent="0.2">
      <c r="F743" s="31"/>
      <c r="G743" s="31"/>
      <c r="H743" s="31"/>
    </row>
    <row r="744" spans="6:8" ht="12.75" customHeight="1" x14ac:dyDescent="0.2">
      <c r="F744" s="31"/>
      <c r="G744" s="31"/>
      <c r="H744" s="31"/>
    </row>
    <row r="745" spans="6:8" ht="12.75" customHeight="1" x14ac:dyDescent="0.2">
      <c r="F745" s="31"/>
      <c r="G745" s="31"/>
      <c r="H745" s="31"/>
    </row>
    <row r="746" spans="6:8" ht="12.75" customHeight="1" x14ac:dyDescent="0.2">
      <c r="F746" s="31"/>
      <c r="G746" s="31"/>
      <c r="H746" s="31"/>
    </row>
    <row r="747" spans="6:8" ht="12.75" customHeight="1" x14ac:dyDescent="0.2">
      <c r="F747" s="31"/>
      <c r="G747" s="31"/>
      <c r="H747" s="31"/>
    </row>
    <row r="748" spans="6:8" ht="12.75" customHeight="1" x14ac:dyDescent="0.2">
      <c r="F748" s="31"/>
      <c r="G748" s="31"/>
      <c r="H748" s="31"/>
    </row>
    <row r="749" spans="6:8" ht="12.75" customHeight="1" x14ac:dyDescent="0.2">
      <c r="F749" s="31"/>
      <c r="G749" s="31"/>
      <c r="H749" s="31"/>
    </row>
    <row r="750" spans="6:8" ht="12.75" customHeight="1" x14ac:dyDescent="0.2">
      <c r="F750" s="31"/>
      <c r="G750" s="31"/>
      <c r="H750" s="31"/>
    </row>
    <row r="751" spans="6:8" ht="12.75" customHeight="1" x14ac:dyDescent="0.2">
      <c r="F751" s="31"/>
      <c r="G751" s="31"/>
      <c r="H751" s="31"/>
    </row>
    <row r="752" spans="6:8" ht="12.75" customHeight="1" x14ac:dyDescent="0.2">
      <c r="F752" s="31"/>
      <c r="G752" s="31"/>
      <c r="H752" s="31"/>
    </row>
    <row r="753" spans="6:8" ht="12.75" customHeight="1" x14ac:dyDescent="0.2">
      <c r="F753" s="31"/>
      <c r="G753" s="31"/>
      <c r="H753" s="31"/>
    </row>
    <row r="754" spans="6:8" ht="12.75" customHeight="1" x14ac:dyDescent="0.2">
      <c r="F754" s="31"/>
      <c r="G754" s="31"/>
      <c r="H754" s="31"/>
    </row>
    <row r="755" spans="6:8" ht="12.75" customHeight="1" x14ac:dyDescent="0.2">
      <c r="F755" s="31"/>
      <c r="G755" s="31"/>
      <c r="H755" s="31"/>
    </row>
    <row r="756" spans="6:8" ht="12.75" customHeight="1" x14ac:dyDescent="0.2">
      <c r="F756" s="31"/>
      <c r="G756" s="31"/>
      <c r="H756" s="31"/>
    </row>
    <row r="757" spans="6:8" ht="12.75" customHeight="1" x14ac:dyDescent="0.2">
      <c r="F757" s="31"/>
      <c r="G757" s="31"/>
      <c r="H757" s="31"/>
    </row>
    <row r="758" spans="6:8" ht="12.75" customHeight="1" x14ac:dyDescent="0.2">
      <c r="F758" s="31"/>
      <c r="G758" s="31"/>
      <c r="H758" s="31"/>
    </row>
    <row r="759" spans="6:8" ht="12.75" customHeight="1" x14ac:dyDescent="0.2">
      <c r="F759" s="31"/>
      <c r="G759" s="31"/>
      <c r="H759" s="31"/>
    </row>
    <row r="760" spans="6:8" ht="12.75" customHeight="1" x14ac:dyDescent="0.2">
      <c r="F760" s="31"/>
      <c r="G760" s="31"/>
      <c r="H760" s="31"/>
    </row>
    <row r="761" spans="6:8" ht="12.75" customHeight="1" x14ac:dyDescent="0.2">
      <c r="F761" s="31"/>
      <c r="G761" s="31"/>
      <c r="H761" s="31"/>
    </row>
    <row r="762" spans="6:8" ht="12.75" customHeight="1" x14ac:dyDescent="0.2">
      <c r="F762" s="31"/>
      <c r="G762" s="31"/>
      <c r="H762" s="31"/>
    </row>
    <row r="763" spans="6:8" ht="12.75" customHeight="1" x14ac:dyDescent="0.2">
      <c r="F763" s="31"/>
      <c r="G763" s="31"/>
      <c r="H763" s="31"/>
    </row>
    <row r="764" spans="6:8" ht="12.75" customHeight="1" x14ac:dyDescent="0.2">
      <c r="F764" s="31"/>
      <c r="G764" s="31"/>
      <c r="H764" s="31"/>
    </row>
    <row r="765" spans="6:8" ht="12.75" customHeight="1" x14ac:dyDescent="0.2">
      <c r="F765" s="31"/>
      <c r="G765" s="31"/>
      <c r="H765" s="31"/>
    </row>
    <row r="766" spans="6:8" ht="12.75" customHeight="1" x14ac:dyDescent="0.2">
      <c r="F766" s="31"/>
      <c r="G766" s="31"/>
      <c r="H766" s="31"/>
    </row>
    <row r="767" spans="6:8" ht="12.75" customHeight="1" x14ac:dyDescent="0.2">
      <c r="F767" s="31"/>
      <c r="G767" s="31"/>
      <c r="H767" s="31"/>
    </row>
    <row r="768" spans="6:8" ht="12.75" customHeight="1" x14ac:dyDescent="0.2">
      <c r="F768" s="31"/>
      <c r="G768" s="31"/>
      <c r="H768" s="31"/>
    </row>
    <row r="769" spans="6:8" ht="12.75" customHeight="1" x14ac:dyDescent="0.2">
      <c r="F769" s="31"/>
      <c r="G769" s="31"/>
      <c r="H769" s="31"/>
    </row>
    <row r="770" spans="6:8" ht="12.75" customHeight="1" x14ac:dyDescent="0.2">
      <c r="F770" s="31"/>
      <c r="G770" s="31"/>
      <c r="H770" s="31"/>
    </row>
    <row r="771" spans="6:8" ht="12.75" customHeight="1" x14ac:dyDescent="0.2">
      <c r="F771" s="31"/>
      <c r="G771" s="31"/>
      <c r="H771" s="31"/>
    </row>
    <row r="772" spans="6:8" ht="12.75" customHeight="1" x14ac:dyDescent="0.2">
      <c r="F772" s="31"/>
      <c r="G772" s="31"/>
      <c r="H772" s="31"/>
    </row>
    <row r="773" spans="6:8" ht="12.75" customHeight="1" x14ac:dyDescent="0.2">
      <c r="F773" s="31"/>
      <c r="G773" s="31"/>
      <c r="H773" s="31"/>
    </row>
    <row r="774" spans="6:8" ht="12.75" customHeight="1" x14ac:dyDescent="0.2">
      <c r="F774" s="31"/>
      <c r="G774" s="31"/>
      <c r="H774" s="31"/>
    </row>
    <row r="775" spans="6:8" ht="12.75" customHeight="1" x14ac:dyDescent="0.2">
      <c r="F775" s="31"/>
      <c r="G775" s="31"/>
      <c r="H775" s="31"/>
    </row>
    <row r="776" spans="6:8" ht="12.75" customHeight="1" x14ac:dyDescent="0.2">
      <c r="F776" s="31"/>
      <c r="G776" s="31"/>
      <c r="H776" s="31"/>
    </row>
    <row r="777" spans="6:8" ht="12.75" customHeight="1" x14ac:dyDescent="0.2">
      <c r="F777" s="31"/>
      <c r="G777" s="31"/>
      <c r="H777" s="31"/>
    </row>
    <row r="778" spans="6:8" ht="12.75" customHeight="1" x14ac:dyDescent="0.2">
      <c r="F778" s="31"/>
      <c r="G778" s="31"/>
      <c r="H778" s="31"/>
    </row>
    <row r="779" spans="6:8" ht="12.75" customHeight="1" x14ac:dyDescent="0.2">
      <c r="F779" s="31"/>
      <c r="G779" s="31"/>
      <c r="H779" s="31"/>
    </row>
    <row r="780" spans="6:8" ht="12.75" customHeight="1" x14ac:dyDescent="0.2">
      <c r="F780" s="31"/>
      <c r="G780" s="31"/>
      <c r="H780" s="31"/>
    </row>
    <row r="781" spans="6:8" ht="12.75" customHeight="1" x14ac:dyDescent="0.2">
      <c r="F781" s="31"/>
      <c r="G781" s="31"/>
      <c r="H781" s="31"/>
    </row>
    <row r="782" spans="6:8" ht="12.75" customHeight="1" x14ac:dyDescent="0.2">
      <c r="F782" s="31"/>
      <c r="G782" s="31"/>
      <c r="H782" s="31"/>
    </row>
    <row r="783" spans="6:8" ht="12.75" customHeight="1" x14ac:dyDescent="0.2">
      <c r="F783" s="31"/>
      <c r="G783" s="31"/>
      <c r="H783" s="31"/>
    </row>
    <row r="784" spans="6:8" ht="12.75" customHeight="1" x14ac:dyDescent="0.2">
      <c r="F784" s="31"/>
      <c r="G784" s="31"/>
      <c r="H784" s="31"/>
    </row>
    <row r="785" spans="6:8" ht="12.75" customHeight="1" x14ac:dyDescent="0.2">
      <c r="F785" s="31"/>
      <c r="G785" s="31"/>
      <c r="H785" s="31"/>
    </row>
    <row r="786" spans="6:8" ht="12.75" customHeight="1" x14ac:dyDescent="0.2">
      <c r="F786" s="31"/>
      <c r="G786" s="31"/>
      <c r="H786" s="31"/>
    </row>
    <row r="787" spans="6:8" ht="12.75" customHeight="1" x14ac:dyDescent="0.2">
      <c r="F787" s="31"/>
      <c r="G787" s="31"/>
      <c r="H787" s="31"/>
    </row>
    <row r="788" spans="6:8" ht="12.75" customHeight="1" x14ac:dyDescent="0.2">
      <c r="F788" s="31"/>
      <c r="G788" s="31"/>
      <c r="H788" s="31"/>
    </row>
    <row r="789" spans="6:8" ht="12.75" customHeight="1" x14ac:dyDescent="0.2">
      <c r="F789" s="31"/>
      <c r="G789" s="31"/>
      <c r="H789" s="31"/>
    </row>
    <row r="790" spans="6:8" ht="12.75" customHeight="1" x14ac:dyDescent="0.2">
      <c r="F790" s="31"/>
      <c r="G790" s="31"/>
      <c r="H790" s="31"/>
    </row>
    <row r="791" spans="6:8" ht="12.75" customHeight="1" x14ac:dyDescent="0.2">
      <c r="F791" s="31"/>
      <c r="G791" s="31"/>
      <c r="H791" s="31"/>
    </row>
    <row r="792" spans="6:8" ht="12.75" customHeight="1" x14ac:dyDescent="0.2">
      <c r="F792" s="31"/>
      <c r="G792" s="31"/>
      <c r="H792" s="31"/>
    </row>
    <row r="793" spans="6:8" ht="12.75" customHeight="1" x14ac:dyDescent="0.2">
      <c r="F793" s="31"/>
      <c r="G793" s="31"/>
      <c r="H793" s="31"/>
    </row>
    <row r="794" spans="6:8" ht="12.75" customHeight="1" x14ac:dyDescent="0.2">
      <c r="F794" s="31"/>
      <c r="G794" s="31"/>
      <c r="H794" s="31"/>
    </row>
    <row r="795" spans="6:8" ht="12.75" customHeight="1" x14ac:dyDescent="0.2">
      <c r="F795" s="31"/>
      <c r="G795" s="31"/>
      <c r="H795" s="31"/>
    </row>
    <row r="796" spans="6:8" ht="12.75" customHeight="1" x14ac:dyDescent="0.2">
      <c r="F796" s="31"/>
      <c r="G796" s="31"/>
      <c r="H796" s="31"/>
    </row>
    <row r="797" spans="6:8" ht="12.75" customHeight="1" x14ac:dyDescent="0.2">
      <c r="F797" s="31"/>
      <c r="G797" s="31"/>
      <c r="H797" s="31"/>
    </row>
    <row r="798" spans="6:8" ht="12.75" customHeight="1" x14ac:dyDescent="0.2">
      <c r="F798" s="31"/>
      <c r="G798" s="31"/>
      <c r="H798" s="31"/>
    </row>
    <row r="799" spans="6:8" ht="12.75" customHeight="1" x14ac:dyDescent="0.2">
      <c r="F799" s="31"/>
      <c r="G799" s="31"/>
      <c r="H799" s="31"/>
    </row>
    <row r="800" spans="6:8" ht="12.75" customHeight="1" x14ac:dyDescent="0.2">
      <c r="F800" s="31"/>
      <c r="G800" s="31"/>
      <c r="H800" s="31"/>
    </row>
    <row r="801" spans="6:8" ht="12.75" customHeight="1" x14ac:dyDescent="0.2">
      <c r="F801" s="31"/>
      <c r="G801" s="31"/>
      <c r="H801" s="31"/>
    </row>
    <row r="802" spans="6:8" ht="12.75" customHeight="1" x14ac:dyDescent="0.2">
      <c r="F802" s="31"/>
      <c r="G802" s="31"/>
      <c r="H802" s="31"/>
    </row>
    <row r="803" spans="6:8" ht="12.75" customHeight="1" x14ac:dyDescent="0.2">
      <c r="F803" s="31"/>
      <c r="G803" s="31"/>
      <c r="H803" s="31"/>
    </row>
    <row r="804" spans="6:8" ht="12.75" customHeight="1" x14ac:dyDescent="0.2">
      <c r="F804" s="31"/>
      <c r="G804" s="31"/>
      <c r="H804" s="31"/>
    </row>
    <row r="805" spans="6:8" ht="12.75" customHeight="1" x14ac:dyDescent="0.2">
      <c r="F805" s="31"/>
      <c r="G805" s="31"/>
      <c r="H805" s="31"/>
    </row>
    <row r="806" spans="6:8" ht="12.75" customHeight="1" x14ac:dyDescent="0.2">
      <c r="F806" s="31"/>
      <c r="G806" s="31"/>
      <c r="H806" s="31"/>
    </row>
    <row r="807" spans="6:8" ht="12.75" customHeight="1" x14ac:dyDescent="0.2">
      <c r="F807" s="31"/>
      <c r="G807" s="31"/>
      <c r="H807" s="31"/>
    </row>
    <row r="808" spans="6:8" ht="12.75" customHeight="1" x14ac:dyDescent="0.2">
      <c r="F808" s="31"/>
      <c r="G808" s="31"/>
      <c r="H808" s="31"/>
    </row>
    <row r="809" spans="6:8" ht="12.75" customHeight="1" x14ac:dyDescent="0.2">
      <c r="F809" s="31"/>
      <c r="G809" s="31"/>
      <c r="H809" s="31"/>
    </row>
    <row r="810" spans="6:8" ht="12.75" customHeight="1" x14ac:dyDescent="0.2">
      <c r="F810" s="31"/>
      <c r="G810" s="31"/>
      <c r="H810" s="31"/>
    </row>
    <row r="811" spans="6:8" ht="12.75" customHeight="1" x14ac:dyDescent="0.2">
      <c r="F811" s="31"/>
      <c r="G811" s="31"/>
      <c r="H811" s="31"/>
    </row>
    <row r="812" spans="6:8" ht="12.75" customHeight="1" x14ac:dyDescent="0.2">
      <c r="F812" s="31"/>
      <c r="G812" s="31"/>
      <c r="H812" s="31"/>
    </row>
    <row r="813" spans="6:8" ht="12.75" customHeight="1" x14ac:dyDescent="0.2">
      <c r="F813" s="31"/>
      <c r="G813" s="31"/>
      <c r="H813" s="31"/>
    </row>
    <row r="814" spans="6:8" ht="12.75" customHeight="1" x14ac:dyDescent="0.2">
      <c r="F814" s="31"/>
      <c r="G814" s="31"/>
      <c r="H814" s="31"/>
    </row>
    <row r="815" spans="6:8" ht="12.75" customHeight="1" x14ac:dyDescent="0.2">
      <c r="F815" s="31"/>
      <c r="G815" s="31"/>
      <c r="H815" s="31"/>
    </row>
    <row r="816" spans="6:8" ht="12.75" customHeight="1" x14ac:dyDescent="0.2">
      <c r="F816" s="31"/>
      <c r="G816" s="31"/>
      <c r="H816" s="31"/>
    </row>
    <row r="817" spans="6:8" ht="12.75" customHeight="1" x14ac:dyDescent="0.2">
      <c r="F817" s="31"/>
      <c r="G817" s="31"/>
      <c r="H817" s="31"/>
    </row>
    <row r="818" spans="6:8" ht="12.75" customHeight="1" x14ac:dyDescent="0.2">
      <c r="F818" s="31"/>
      <c r="G818" s="31"/>
      <c r="H818" s="31"/>
    </row>
    <row r="819" spans="6:8" ht="12.75" customHeight="1" x14ac:dyDescent="0.2">
      <c r="F819" s="31"/>
      <c r="G819" s="31"/>
      <c r="H819" s="31"/>
    </row>
    <row r="820" spans="6:8" ht="12.75" customHeight="1" x14ac:dyDescent="0.2">
      <c r="F820" s="31"/>
      <c r="G820" s="31"/>
      <c r="H820" s="31"/>
    </row>
    <row r="821" spans="6:8" ht="12.75" customHeight="1" x14ac:dyDescent="0.2">
      <c r="F821" s="31"/>
      <c r="G821" s="31"/>
      <c r="H821" s="31"/>
    </row>
    <row r="822" spans="6:8" ht="12.75" customHeight="1" x14ac:dyDescent="0.2">
      <c r="F822" s="31"/>
      <c r="G822" s="31"/>
      <c r="H822" s="31"/>
    </row>
    <row r="823" spans="6:8" ht="12.75" customHeight="1" x14ac:dyDescent="0.2">
      <c r="F823" s="31"/>
      <c r="G823" s="31"/>
      <c r="H823" s="31"/>
    </row>
    <row r="824" spans="6:8" ht="12.75" customHeight="1" x14ac:dyDescent="0.2">
      <c r="F824" s="31"/>
      <c r="G824" s="31"/>
      <c r="H824" s="31"/>
    </row>
    <row r="825" spans="6:8" ht="12.75" customHeight="1" x14ac:dyDescent="0.2">
      <c r="F825" s="31"/>
      <c r="G825" s="31"/>
      <c r="H825" s="31"/>
    </row>
    <row r="826" spans="6:8" ht="12.75" customHeight="1" x14ac:dyDescent="0.2">
      <c r="F826" s="31"/>
      <c r="G826" s="31"/>
      <c r="H826" s="31"/>
    </row>
    <row r="827" spans="6:8" ht="12.75" customHeight="1" x14ac:dyDescent="0.2">
      <c r="F827" s="31"/>
      <c r="G827" s="31"/>
      <c r="H827" s="31"/>
    </row>
    <row r="828" spans="6:8" ht="12.75" customHeight="1" x14ac:dyDescent="0.2">
      <c r="F828" s="31"/>
      <c r="G828" s="31"/>
      <c r="H828" s="31"/>
    </row>
    <row r="829" spans="6:8" ht="12.75" customHeight="1" x14ac:dyDescent="0.2">
      <c r="F829" s="31"/>
      <c r="G829" s="31"/>
      <c r="H829" s="31"/>
    </row>
    <row r="830" spans="6:8" ht="12.75" customHeight="1" x14ac:dyDescent="0.2">
      <c r="F830" s="31"/>
      <c r="G830" s="31"/>
      <c r="H830" s="31"/>
    </row>
    <row r="831" spans="6:8" ht="12.75" customHeight="1" x14ac:dyDescent="0.2">
      <c r="F831" s="31"/>
      <c r="G831" s="31"/>
      <c r="H831" s="31"/>
    </row>
    <row r="832" spans="6:8" ht="12.75" customHeight="1" x14ac:dyDescent="0.2">
      <c r="F832" s="31"/>
      <c r="G832" s="31"/>
      <c r="H832" s="31"/>
    </row>
    <row r="833" spans="6:8" ht="12.75" customHeight="1" x14ac:dyDescent="0.2">
      <c r="F833" s="31"/>
      <c r="G833" s="31"/>
      <c r="H833" s="31"/>
    </row>
    <row r="834" spans="6:8" ht="12.75" customHeight="1" x14ac:dyDescent="0.2">
      <c r="F834" s="31"/>
      <c r="G834" s="31"/>
      <c r="H834" s="31"/>
    </row>
    <row r="835" spans="6:8" ht="12.75" customHeight="1" x14ac:dyDescent="0.2">
      <c r="F835" s="31"/>
      <c r="G835" s="31"/>
      <c r="H835" s="31"/>
    </row>
    <row r="836" spans="6:8" ht="12.75" customHeight="1" x14ac:dyDescent="0.2">
      <c r="F836" s="31"/>
      <c r="G836" s="31"/>
      <c r="H836" s="31"/>
    </row>
    <row r="837" spans="6:8" ht="12.75" customHeight="1" x14ac:dyDescent="0.2">
      <c r="F837" s="31"/>
      <c r="G837" s="31"/>
      <c r="H837" s="31"/>
    </row>
    <row r="838" spans="6:8" ht="12.75" customHeight="1" x14ac:dyDescent="0.2">
      <c r="F838" s="31"/>
      <c r="G838" s="31"/>
      <c r="H838" s="31"/>
    </row>
    <row r="839" spans="6:8" ht="12.75" customHeight="1" x14ac:dyDescent="0.2">
      <c r="F839" s="31"/>
      <c r="G839" s="31"/>
      <c r="H839" s="31"/>
    </row>
    <row r="840" spans="6:8" ht="12.75" customHeight="1" x14ac:dyDescent="0.2">
      <c r="F840" s="31"/>
      <c r="G840" s="31"/>
      <c r="H840" s="31"/>
    </row>
    <row r="841" spans="6:8" ht="12.75" customHeight="1" x14ac:dyDescent="0.2">
      <c r="F841" s="31"/>
      <c r="G841" s="31"/>
      <c r="H841" s="31"/>
    </row>
    <row r="842" spans="6:8" ht="12.75" customHeight="1" x14ac:dyDescent="0.2">
      <c r="F842" s="31"/>
      <c r="G842" s="31"/>
      <c r="H842" s="31"/>
    </row>
    <row r="843" spans="6:8" ht="12.75" customHeight="1" x14ac:dyDescent="0.2">
      <c r="F843" s="31"/>
      <c r="G843" s="31"/>
      <c r="H843" s="31"/>
    </row>
    <row r="844" spans="6:8" ht="12.75" customHeight="1" x14ac:dyDescent="0.2">
      <c r="F844" s="31"/>
      <c r="G844" s="31"/>
      <c r="H844" s="31"/>
    </row>
    <row r="845" spans="6:8" ht="12.75" customHeight="1" x14ac:dyDescent="0.2">
      <c r="F845" s="31"/>
      <c r="G845" s="31"/>
      <c r="H845" s="31"/>
    </row>
    <row r="846" spans="6:8" ht="12.75" customHeight="1" x14ac:dyDescent="0.2">
      <c r="F846" s="31"/>
      <c r="G846" s="31"/>
      <c r="H846" s="31"/>
    </row>
    <row r="847" spans="6:8" ht="12.75" customHeight="1" x14ac:dyDescent="0.2">
      <c r="F847" s="31"/>
      <c r="G847" s="31"/>
      <c r="H847" s="31"/>
    </row>
    <row r="848" spans="6:8" ht="12.75" customHeight="1" x14ac:dyDescent="0.2">
      <c r="F848" s="31"/>
      <c r="G848" s="31"/>
      <c r="H848" s="31"/>
    </row>
    <row r="849" spans="6:8" ht="12.75" customHeight="1" x14ac:dyDescent="0.2">
      <c r="F849" s="31"/>
      <c r="G849" s="31"/>
      <c r="H849" s="31"/>
    </row>
    <row r="850" spans="6:8" ht="12.75" customHeight="1" x14ac:dyDescent="0.2">
      <c r="F850" s="31"/>
      <c r="G850" s="31"/>
      <c r="H850" s="31"/>
    </row>
    <row r="851" spans="6:8" ht="12.75" customHeight="1" x14ac:dyDescent="0.2">
      <c r="F851" s="31"/>
      <c r="G851" s="31"/>
      <c r="H851" s="31"/>
    </row>
    <row r="852" spans="6:8" ht="12.75" customHeight="1" x14ac:dyDescent="0.2">
      <c r="F852" s="31"/>
      <c r="G852" s="31"/>
      <c r="H852" s="31"/>
    </row>
    <row r="853" spans="6:8" ht="12.75" customHeight="1" x14ac:dyDescent="0.2">
      <c r="F853" s="31"/>
      <c r="G853" s="31"/>
      <c r="H853" s="31"/>
    </row>
    <row r="854" spans="6:8" ht="12.75" customHeight="1" x14ac:dyDescent="0.2">
      <c r="F854" s="31"/>
      <c r="G854" s="31"/>
      <c r="H854" s="31"/>
    </row>
    <row r="855" spans="6:8" ht="12.75" customHeight="1" x14ac:dyDescent="0.2">
      <c r="F855" s="31"/>
      <c r="G855" s="31"/>
      <c r="H855" s="31"/>
    </row>
    <row r="856" spans="6:8" ht="12.75" customHeight="1" x14ac:dyDescent="0.2">
      <c r="F856" s="31"/>
      <c r="G856" s="31"/>
      <c r="H856" s="31"/>
    </row>
    <row r="857" spans="6:8" ht="12.75" customHeight="1" x14ac:dyDescent="0.2">
      <c r="F857" s="31"/>
      <c r="G857" s="31"/>
      <c r="H857" s="31"/>
    </row>
    <row r="858" spans="6:8" ht="12.75" customHeight="1" x14ac:dyDescent="0.2">
      <c r="F858" s="31"/>
      <c r="G858" s="31"/>
      <c r="H858" s="31"/>
    </row>
    <row r="859" spans="6:8" ht="12.75" customHeight="1" x14ac:dyDescent="0.2">
      <c r="F859" s="31"/>
      <c r="G859" s="31"/>
      <c r="H859" s="31"/>
    </row>
    <row r="860" spans="6:8" ht="12.75" customHeight="1" x14ac:dyDescent="0.2">
      <c r="F860" s="31"/>
      <c r="G860" s="31"/>
      <c r="H860" s="31"/>
    </row>
    <row r="861" spans="6:8" ht="12.75" customHeight="1" x14ac:dyDescent="0.2">
      <c r="F861" s="31"/>
      <c r="G861" s="31"/>
      <c r="H861" s="31"/>
    </row>
    <row r="862" spans="6:8" ht="12.75" customHeight="1" x14ac:dyDescent="0.2">
      <c r="F862" s="31"/>
      <c r="G862" s="31"/>
      <c r="H862" s="31"/>
    </row>
    <row r="863" spans="6:8" ht="12.75" customHeight="1" x14ac:dyDescent="0.2">
      <c r="F863" s="31"/>
      <c r="G863" s="31"/>
      <c r="H863" s="31"/>
    </row>
    <row r="864" spans="6:8" ht="12.75" customHeight="1" x14ac:dyDescent="0.2">
      <c r="F864" s="31"/>
      <c r="G864" s="31"/>
      <c r="H864" s="31"/>
    </row>
    <row r="865" spans="6:8" ht="12.75" customHeight="1" x14ac:dyDescent="0.2">
      <c r="F865" s="31"/>
      <c r="G865" s="31"/>
      <c r="H865" s="31"/>
    </row>
    <row r="866" spans="6:8" ht="12.75" customHeight="1" x14ac:dyDescent="0.2">
      <c r="F866" s="31"/>
      <c r="G866" s="31"/>
      <c r="H866" s="31"/>
    </row>
    <row r="867" spans="6:8" ht="12.75" customHeight="1" x14ac:dyDescent="0.2">
      <c r="F867" s="31"/>
      <c r="G867" s="31"/>
      <c r="H867" s="31"/>
    </row>
    <row r="868" spans="6:8" ht="12.75" customHeight="1" x14ac:dyDescent="0.2">
      <c r="F868" s="31"/>
      <c r="G868" s="31"/>
      <c r="H868" s="31"/>
    </row>
    <row r="869" spans="6:8" ht="12.75" customHeight="1" x14ac:dyDescent="0.2">
      <c r="F869" s="31"/>
      <c r="G869" s="31"/>
      <c r="H869" s="31"/>
    </row>
    <row r="870" spans="6:8" ht="12.75" customHeight="1" x14ac:dyDescent="0.2">
      <c r="F870" s="31"/>
      <c r="G870" s="31"/>
      <c r="H870" s="31"/>
    </row>
    <row r="871" spans="6:8" ht="12.75" customHeight="1" x14ac:dyDescent="0.2">
      <c r="F871" s="31"/>
      <c r="G871" s="31"/>
      <c r="H871" s="31"/>
    </row>
    <row r="872" spans="6:8" ht="12.75" customHeight="1" x14ac:dyDescent="0.2">
      <c r="F872" s="31"/>
      <c r="G872" s="31"/>
      <c r="H872" s="31"/>
    </row>
    <row r="873" spans="6:8" ht="12.75" customHeight="1" x14ac:dyDescent="0.2">
      <c r="F873" s="31"/>
      <c r="G873" s="31"/>
      <c r="H873" s="31"/>
    </row>
    <row r="874" spans="6:8" ht="12.75" customHeight="1" x14ac:dyDescent="0.2">
      <c r="F874" s="31"/>
      <c r="G874" s="31"/>
      <c r="H874" s="31"/>
    </row>
    <row r="875" spans="6:8" ht="12.75" customHeight="1" x14ac:dyDescent="0.2">
      <c r="F875" s="31"/>
      <c r="G875" s="31"/>
      <c r="H875" s="31"/>
    </row>
    <row r="876" spans="6:8" ht="12.75" customHeight="1" x14ac:dyDescent="0.2">
      <c r="F876" s="31"/>
      <c r="G876" s="31"/>
      <c r="H876" s="31"/>
    </row>
    <row r="877" spans="6:8" ht="12.75" customHeight="1" x14ac:dyDescent="0.2">
      <c r="F877" s="31"/>
      <c r="G877" s="31"/>
      <c r="H877" s="31"/>
    </row>
    <row r="878" spans="6:8" ht="12.75" customHeight="1" x14ac:dyDescent="0.2">
      <c r="F878" s="31"/>
      <c r="G878" s="31"/>
      <c r="H878" s="31"/>
    </row>
    <row r="879" spans="6:8" ht="12.75" customHeight="1" x14ac:dyDescent="0.2">
      <c r="F879" s="31"/>
      <c r="G879" s="31"/>
      <c r="H879" s="31"/>
    </row>
    <row r="880" spans="6:8" ht="12.75" customHeight="1" x14ac:dyDescent="0.2">
      <c r="F880" s="31"/>
      <c r="G880" s="31"/>
      <c r="H880" s="31"/>
    </row>
    <row r="881" spans="6:8" ht="12.75" customHeight="1" x14ac:dyDescent="0.2">
      <c r="F881" s="31"/>
      <c r="G881" s="31"/>
      <c r="H881" s="31"/>
    </row>
    <row r="882" spans="6:8" ht="12.75" customHeight="1" x14ac:dyDescent="0.2">
      <c r="F882" s="31"/>
      <c r="G882" s="31"/>
      <c r="H882" s="31"/>
    </row>
    <row r="883" spans="6:8" ht="12.75" customHeight="1" x14ac:dyDescent="0.2">
      <c r="F883" s="31"/>
      <c r="G883" s="31"/>
      <c r="H883" s="31"/>
    </row>
    <row r="884" spans="6:8" ht="12.75" customHeight="1" x14ac:dyDescent="0.2">
      <c r="F884" s="31"/>
      <c r="G884" s="31"/>
      <c r="H884" s="31"/>
    </row>
    <row r="885" spans="6:8" ht="12.75" customHeight="1" x14ac:dyDescent="0.2">
      <c r="F885" s="31"/>
      <c r="G885" s="31"/>
      <c r="H885" s="31"/>
    </row>
    <row r="886" spans="6:8" ht="12.75" customHeight="1" x14ac:dyDescent="0.2">
      <c r="F886" s="31"/>
      <c r="G886" s="31"/>
      <c r="H886" s="31"/>
    </row>
    <row r="887" spans="6:8" ht="12.75" customHeight="1" x14ac:dyDescent="0.2">
      <c r="F887" s="31"/>
      <c r="G887" s="31"/>
      <c r="H887" s="31"/>
    </row>
    <row r="888" spans="6:8" ht="12.75" customHeight="1" x14ac:dyDescent="0.2">
      <c r="F888" s="31"/>
      <c r="G888" s="31"/>
      <c r="H888" s="31"/>
    </row>
    <row r="889" spans="6:8" ht="12.75" customHeight="1" x14ac:dyDescent="0.2">
      <c r="F889" s="31"/>
      <c r="G889" s="31"/>
      <c r="H889" s="31"/>
    </row>
    <row r="890" spans="6:8" ht="12.75" customHeight="1" x14ac:dyDescent="0.2">
      <c r="F890" s="31"/>
      <c r="G890" s="31"/>
      <c r="H890" s="31"/>
    </row>
    <row r="891" spans="6:8" ht="12.75" customHeight="1" x14ac:dyDescent="0.2">
      <c r="F891" s="31"/>
      <c r="G891" s="31"/>
      <c r="H891" s="31"/>
    </row>
    <row r="892" spans="6:8" ht="12.75" customHeight="1" x14ac:dyDescent="0.2">
      <c r="F892" s="31"/>
      <c r="G892" s="31"/>
      <c r="H892" s="31"/>
    </row>
    <row r="893" spans="6:8" ht="12.75" customHeight="1" x14ac:dyDescent="0.2">
      <c r="F893" s="31"/>
      <c r="G893" s="31"/>
      <c r="H893" s="31"/>
    </row>
    <row r="894" spans="6:8" ht="12.75" customHeight="1" x14ac:dyDescent="0.2">
      <c r="F894" s="31"/>
      <c r="G894" s="31"/>
      <c r="H894" s="31"/>
    </row>
    <row r="895" spans="6:8" ht="12.75" customHeight="1" x14ac:dyDescent="0.2">
      <c r="F895" s="31"/>
      <c r="G895" s="31"/>
      <c r="H895" s="31"/>
    </row>
    <row r="896" spans="6:8" ht="12.75" customHeight="1" x14ac:dyDescent="0.2">
      <c r="F896" s="31"/>
      <c r="G896" s="31"/>
      <c r="H896" s="31"/>
    </row>
    <row r="897" spans="6:8" ht="12.75" customHeight="1" x14ac:dyDescent="0.2">
      <c r="F897" s="31"/>
      <c r="G897" s="31"/>
      <c r="H897" s="31"/>
    </row>
    <row r="898" spans="6:8" ht="12.75" customHeight="1" x14ac:dyDescent="0.2">
      <c r="F898" s="31"/>
      <c r="G898" s="31"/>
      <c r="H898" s="31"/>
    </row>
    <row r="899" spans="6:8" ht="12.75" customHeight="1" x14ac:dyDescent="0.2">
      <c r="F899" s="31"/>
      <c r="G899" s="31"/>
      <c r="H899" s="31"/>
    </row>
    <row r="900" spans="6:8" ht="12.75" customHeight="1" x14ac:dyDescent="0.2">
      <c r="F900" s="31"/>
      <c r="G900" s="31"/>
      <c r="H900" s="31"/>
    </row>
    <row r="901" spans="6:8" ht="12.75" customHeight="1" x14ac:dyDescent="0.2">
      <c r="F901" s="31"/>
      <c r="G901" s="31"/>
      <c r="H901" s="31"/>
    </row>
    <row r="902" spans="6:8" ht="12.75" customHeight="1" x14ac:dyDescent="0.2">
      <c r="F902" s="31"/>
      <c r="G902" s="31"/>
      <c r="H902" s="31"/>
    </row>
    <row r="903" spans="6:8" ht="12.75" customHeight="1" x14ac:dyDescent="0.2">
      <c r="F903" s="31"/>
      <c r="G903" s="31"/>
      <c r="H903" s="31"/>
    </row>
    <row r="904" spans="6:8" ht="12.75" customHeight="1" x14ac:dyDescent="0.2">
      <c r="F904" s="31"/>
      <c r="G904" s="31"/>
      <c r="H904" s="31"/>
    </row>
    <row r="905" spans="6:8" ht="12.75" customHeight="1" x14ac:dyDescent="0.2">
      <c r="F905" s="31"/>
      <c r="G905" s="31"/>
      <c r="H905" s="31"/>
    </row>
    <row r="906" spans="6:8" ht="12.75" customHeight="1" x14ac:dyDescent="0.2">
      <c r="F906" s="31"/>
      <c r="G906" s="31"/>
      <c r="H906" s="31"/>
    </row>
    <row r="907" spans="6:8" ht="12.75" customHeight="1" x14ac:dyDescent="0.2">
      <c r="F907" s="31"/>
      <c r="G907" s="31"/>
      <c r="H907" s="31"/>
    </row>
    <row r="908" spans="6:8" ht="12.75" customHeight="1" x14ac:dyDescent="0.2">
      <c r="F908" s="31"/>
      <c r="G908" s="31"/>
      <c r="H908" s="31"/>
    </row>
    <row r="909" spans="6:8" ht="12.75" customHeight="1" x14ac:dyDescent="0.2">
      <c r="F909" s="31"/>
      <c r="G909" s="31"/>
      <c r="H909" s="31"/>
    </row>
    <row r="910" spans="6:8" ht="12.75" customHeight="1" x14ac:dyDescent="0.2">
      <c r="F910" s="31"/>
      <c r="G910" s="31"/>
      <c r="H910" s="31"/>
    </row>
    <row r="911" spans="6:8" ht="12.75" customHeight="1" x14ac:dyDescent="0.2">
      <c r="F911" s="31"/>
      <c r="G911" s="31"/>
      <c r="H911" s="31"/>
    </row>
    <row r="912" spans="6:8" ht="12.75" customHeight="1" x14ac:dyDescent="0.2">
      <c r="F912" s="31"/>
      <c r="G912" s="31"/>
      <c r="H912" s="31"/>
    </row>
    <row r="913" spans="6:8" ht="12.75" customHeight="1" x14ac:dyDescent="0.2">
      <c r="F913" s="31"/>
      <c r="G913" s="31"/>
      <c r="H913" s="31"/>
    </row>
    <row r="914" spans="6:8" ht="12.75" customHeight="1" x14ac:dyDescent="0.2">
      <c r="F914" s="31"/>
      <c r="G914" s="31"/>
      <c r="H914" s="31"/>
    </row>
    <row r="915" spans="6:8" ht="12.75" customHeight="1" x14ac:dyDescent="0.2">
      <c r="F915" s="31"/>
      <c r="G915" s="31"/>
      <c r="H915" s="31"/>
    </row>
    <row r="916" spans="6:8" ht="12.75" customHeight="1" x14ac:dyDescent="0.2">
      <c r="F916" s="31"/>
      <c r="G916" s="31"/>
      <c r="H916" s="31"/>
    </row>
    <row r="917" spans="6:8" ht="12.75" customHeight="1" x14ac:dyDescent="0.2">
      <c r="F917" s="31"/>
      <c r="G917" s="31"/>
      <c r="H917" s="31"/>
    </row>
    <row r="918" spans="6:8" ht="12.75" customHeight="1" x14ac:dyDescent="0.2">
      <c r="F918" s="31"/>
      <c r="G918" s="31"/>
      <c r="H918" s="31"/>
    </row>
    <row r="919" spans="6:8" ht="12.75" customHeight="1" x14ac:dyDescent="0.2">
      <c r="F919" s="31"/>
      <c r="G919" s="31"/>
      <c r="H919" s="31"/>
    </row>
    <row r="920" spans="6:8" ht="12.75" customHeight="1" x14ac:dyDescent="0.2">
      <c r="F920" s="31"/>
      <c r="G920" s="31"/>
      <c r="H920" s="31"/>
    </row>
    <row r="921" spans="6:8" ht="12.75" customHeight="1" x14ac:dyDescent="0.2">
      <c r="F921" s="31"/>
      <c r="G921" s="31"/>
      <c r="H921" s="31"/>
    </row>
    <row r="922" spans="6:8" ht="12.75" customHeight="1" x14ac:dyDescent="0.2">
      <c r="F922" s="31"/>
      <c r="G922" s="31"/>
      <c r="H922" s="31"/>
    </row>
    <row r="923" spans="6:8" ht="12.75" customHeight="1" x14ac:dyDescent="0.2">
      <c r="F923" s="31"/>
      <c r="G923" s="31"/>
      <c r="H923" s="31"/>
    </row>
    <row r="924" spans="6:8" ht="12.75" customHeight="1" x14ac:dyDescent="0.2">
      <c r="F924" s="31"/>
      <c r="G924" s="31"/>
      <c r="H924" s="31"/>
    </row>
    <row r="925" spans="6:8" ht="12.75" customHeight="1" x14ac:dyDescent="0.2">
      <c r="F925" s="31"/>
      <c r="G925" s="31"/>
      <c r="H925" s="31"/>
    </row>
    <row r="926" spans="6:8" ht="12.75" customHeight="1" x14ac:dyDescent="0.2">
      <c r="F926" s="31"/>
      <c r="G926" s="31"/>
      <c r="H926" s="31"/>
    </row>
    <row r="927" spans="6:8" ht="12.75" customHeight="1" x14ac:dyDescent="0.2">
      <c r="F927" s="31"/>
      <c r="G927" s="31"/>
      <c r="H927" s="31"/>
    </row>
    <row r="928" spans="6:8" ht="12.75" customHeight="1" x14ac:dyDescent="0.2">
      <c r="F928" s="31"/>
      <c r="G928" s="31"/>
      <c r="H928" s="31"/>
    </row>
    <row r="929" spans="6:8" ht="12.75" customHeight="1" x14ac:dyDescent="0.2">
      <c r="F929" s="31"/>
      <c r="G929" s="31"/>
      <c r="H929" s="31"/>
    </row>
    <row r="930" spans="6:8" ht="12.75" customHeight="1" x14ac:dyDescent="0.2">
      <c r="F930" s="31"/>
      <c r="G930" s="31"/>
      <c r="H930" s="31"/>
    </row>
    <row r="931" spans="6:8" ht="12.75" customHeight="1" x14ac:dyDescent="0.2">
      <c r="F931" s="31"/>
      <c r="G931" s="31"/>
      <c r="H931" s="31"/>
    </row>
    <row r="932" spans="6:8" ht="12.75" customHeight="1" x14ac:dyDescent="0.2">
      <c r="F932" s="31"/>
      <c r="G932" s="31"/>
      <c r="H932" s="31"/>
    </row>
    <row r="933" spans="6:8" ht="12.75" customHeight="1" x14ac:dyDescent="0.2">
      <c r="F933" s="31"/>
      <c r="G933" s="31"/>
      <c r="H933" s="31"/>
    </row>
    <row r="934" spans="6:8" ht="12.75" customHeight="1" x14ac:dyDescent="0.2">
      <c r="F934" s="31"/>
      <c r="G934" s="31"/>
      <c r="H934" s="31"/>
    </row>
    <row r="935" spans="6:8" ht="12.75" customHeight="1" x14ac:dyDescent="0.2">
      <c r="F935" s="31"/>
      <c r="G935" s="31"/>
      <c r="H935" s="31"/>
    </row>
    <row r="936" spans="6:8" ht="12.75" customHeight="1" x14ac:dyDescent="0.2">
      <c r="F936" s="31"/>
      <c r="G936" s="31"/>
      <c r="H936" s="31"/>
    </row>
    <row r="937" spans="6:8" ht="12.75" customHeight="1" x14ac:dyDescent="0.2">
      <c r="F937" s="31"/>
      <c r="G937" s="31"/>
      <c r="H937" s="31"/>
    </row>
    <row r="938" spans="6:8" ht="12.75" customHeight="1" x14ac:dyDescent="0.2">
      <c r="F938" s="31"/>
      <c r="G938" s="31"/>
      <c r="H938" s="31"/>
    </row>
    <row r="939" spans="6:8" ht="12.75" customHeight="1" x14ac:dyDescent="0.2">
      <c r="F939" s="31"/>
      <c r="G939" s="31"/>
      <c r="H939" s="31"/>
    </row>
    <row r="940" spans="6:8" ht="12.75" customHeight="1" x14ac:dyDescent="0.2">
      <c r="F940" s="31"/>
      <c r="G940" s="31"/>
      <c r="H940" s="31"/>
    </row>
    <row r="941" spans="6:8" ht="12.75" customHeight="1" x14ac:dyDescent="0.2">
      <c r="F941" s="31"/>
      <c r="G941" s="31"/>
      <c r="H941" s="31"/>
    </row>
    <row r="942" spans="6:8" ht="12.75" customHeight="1" x14ac:dyDescent="0.2">
      <c r="F942" s="31"/>
      <c r="G942" s="31"/>
      <c r="H942" s="31"/>
    </row>
    <row r="943" spans="6:8" ht="12.75" customHeight="1" x14ac:dyDescent="0.2">
      <c r="F943" s="31"/>
      <c r="G943" s="31"/>
      <c r="H943" s="31"/>
    </row>
    <row r="944" spans="6:8" ht="12.75" customHeight="1" x14ac:dyDescent="0.2">
      <c r="F944" s="31"/>
      <c r="G944" s="31"/>
      <c r="H944" s="31"/>
    </row>
    <row r="945" spans="6:8" ht="12.75" customHeight="1" x14ac:dyDescent="0.2">
      <c r="F945" s="31"/>
      <c r="G945" s="31"/>
      <c r="H945" s="31"/>
    </row>
    <row r="946" spans="6:8" ht="12.75" customHeight="1" x14ac:dyDescent="0.2">
      <c r="F946" s="31"/>
      <c r="G946" s="31"/>
      <c r="H946" s="31"/>
    </row>
    <row r="947" spans="6:8" ht="12.75" customHeight="1" x14ac:dyDescent="0.2">
      <c r="F947" s="31"/>
      <c r="G947" s="31"/>
      <c r="H947" s="31"/>
    </row>
    <row r="948" spans="6:8" ht="12.75" customHeight="1" x14ac:dyDescent="0.2">
      <c r="F948" s="31"/>
      <c r="G948" s="31"/>
      <c r="H948" s="31"/>
    </row>
    <row r="949" spans="6:8" ht="12.75" customHeight="1" x14ac:dyDescent="0.2">
      <c r="F949" s="31"/>
      <c r="G949" s="31"/>
      <c r="H949" s="31"/>
    </row>
    <row r="950" spans="6:8" ht="12.75" customHeight="1" x14ac:dyDescent="0.2">
      <c r="F950" s="31"/>
      <c r="G950" s="31"/>
      <c r="H950" s="31"/>
    </row>
    <row r="951" spans="6:8" ht="12.75" customHeight="1" x14ac:dyDescent="0.2">
      <c r="F951" s="31"/>
      <c r="G951" s="31"/>
      <c r="H951" s="31"/>
    </row>
    <row r="952" spans="6:8" ht="12.75" customHeight="1" x14ac:dyDescent="0.2">
      <c r="F952" s="31"/>
      <c r="G952" s="31"/>
      <c r="H952" s="31"/>
    </row>
    <row r="953" spans="6:8" ht="12.75" customHeight="1" x14ac:dyDescent="0.2">
      <c r="F953" s="31"/>
      <c r="G953" s="31"/>
      <c r="H953" s="31"/>
    </row>
    <row r="954" spans="6:8" ht="12.75" customHeight="1" x14ac:dyDescent="0.2">
      <c r="F954" s="31"/>
      <c r="G954" s="31"/>
      <c r="H954" s="31"/>
    </row>
    <row r="955" spans="6:8" ht="12.75" customHeight="1" x14ac:dyDescent="0.2">
      <c r="F955" s="31"/>
      <c r="G955" s="31"/>
      <c r="H955" s="31"/>
    </row>
    <row r="956" spans="6:8" ht="12.75" customHeight="1" x14ac:dyDescent="0.2">
      <c r="F956" s="31"/>
      <c r="G956" s="31"/>
      <c r="H956" s="31"/>
    </row>
    <row r="957" spans="6:8" ht="12.75" customHeight="1" x14ac:dyDescent="0.2">
      <c r="F957" s="31"/>
      <c r="G957" s="31"/>
      <c r="H957" s="31"/>
    </row>
    <row r="958" spans="6:8" ht="12.75" customHeight="1" x14ac:dyDescent="0.2">
      <c r="F958" s="31"/>
      <c r="G958" s="31"/>
      <c r="H958" s="31"/>
    </row>
    <row r="959" spans="6:8" ht="12.75" customHeight="1" x14ac:dyDescent="0.2">
      <c r="F959" s="31"/>
      <c r="G959" s="31"/>
      <c r="H959" s="31"/>
    </row>
    <row r="960" spans="6:8" ht="12.75" customHeight="1" x14ac:dyDescent="0.2">
      <c r="F960" s="31"/>
      <c r="G960" s="31"/>
      <c r="H960" s="31"/>
    </row>
    <row r="961" spans="6:8" ht="12.75" customHeight="1" x14ac:dyDescent="0.2">
      <c r="F961" s="31"/>
      <c r="G961" s="31"/>
      <c r="H961" s="31"/>
    </row>
    <row r="962" spans="6:8" ht="12.75" customHeight="1" x14ac:dyDescent="0.2">
      <c r="F962" s="31"/>
      <c r="G962" s="31"/>
      <c r="H962" s="31"/>
    </row>
    <row r="963" spans="6:8" ht="12.75" customHeight="1" x14ac:dyDescent="0.2">
      <c r="F963" s="31"/>
      <c r="G963" s="31"/>
      <c r="H963" s="31"/>
    </row>
    <row r="964" spans="6:8" ht="12.75" customHeight="1" x14ac:dyDescent="0.2">
      <c r="F964" s="31"/>
      <c r="G964" s="31"/>
      <c r="H964" s="31"/>
    </row>
    <row r="965" spans="6:8" ht="12.75" customHeight="1" x14ac:dyDescent="0.2">
      <c r="F965" s="31"/>
      <c r="G965" s="31"/>
      <c r="H965" s="31"/>
    </row>
    <row r="966" spans="6:8" ht="12.75" customHeight="1" x14ac:dyDescent="0.2">
      <c r="F966" s="31"/>
      <c r="G966" s="31"/>
      <c r="H966" s="31"/>
    </row>
    <row r="967" spans="6:8" ht="12.75" customHeight="1" x14ac:dyDescent="0.2">
      <c r="F967" s="31"/>
      <c r="G967" s="31"/>
      <c r="H967" s="31"/>
    </row>
    <row r="968" spans="6:8" ht="12.75" customHeight="1" x14ac:dyDescent="0.2">
      <c r="F968" s="31"/>
      <c r="G968" s="31"/>
      <c r="H968" s="31"/>
    </row>
    <row r="969" spans="6:8" ht="12.75" customHeight="1" x14ac:dyDescent="0.2">
      <c r="F969" s="31"/>
      <c r="G969" s="31"/>
      <c r="H969" s="31"/>
    </row>
    <row r="970" spans="6:8" ht="12.75" customHeight="1" x14ac:dyDescent="0.2">
      <c r="F970" s="31"/>
      <c r="G970" s="31"/>
      <c r="H970" s="31"/>
    </row>
    <row r="971" spans="6:8" ht="12.75" customHeight="1" x14ac:dyDescent="0.2">
      <c r="F971" s="31"/>
      <c r="G971" s="31"/>
      <c r="H971" s="31"/>
    </row>
    <row r="972" spans="6:8" ht="12.75" customHeight="1" x14ac:dyDescent="0.2">
      <c r="F972" s="31"/>
      <c r="G972" s="31"/>
      <c r="H972" s="31"/>
    </row>
    <row r="973" spans="6:8" ht="12.75" customHeight="1" x14ac:dyDescent="0.2">
      <c r="F973" s="31"/>
      <c r="G973" s="31"/>
      <c r="H973" s="31"/>
    </row>
    <row r="974" spans="6:8" ht="12.75" customHeight="1" x14ac:dyDescent="0.2">
      <c r="F974" s="31"/>
      <c r="G974" s="31"/>
      <c r="H974" s="31"/>
    </row>
    <row r="975" spans="6:8" ht="12.75" customHeight="1" x14ac:dyDescent="0.2">
      <c r="F975" s="31"/>
      <c r="G975" s="31"/>
      <c r="H975" s="31"/>
    </row>
    <row r="976" spans="6:8" ht="12.75" customHeight="1" x14ac:dyDescent="0.2">
      <c r="F976" s="31"/>
      <c r="G976" s="31"/>
      <c r="H976" s="31"/>
    </row>
    <row r="977" spans="6:8" ht="12.75" customHeight="1" x14ac:dyDescent="0.2">
      <c r="F977" s="31"/>
      <c r="G977" s="31"/>
      <c r="H977" s="31"/>
    </row>
    <row r="978" spans="6:8" ht="12.75" customHeight="1" x14ac:dyDescent="0.2">
      <c r="F978" s="31"/>
      <c r="G978" s="31"/>
      <c r="H978" s="31"/>
    </row>
    <row r="979" spans="6:8" ht="12.75" customHeight="1" x14ac:dyDescent="0.2">
      <c r="F979" s="31"/>
      <c r="G979" s="31"/>
      <c r="H979" s="31"/>
    </row>
    <row r="980" spans="6:8" ht="12.75" customHeight="1" x14ac:dyDescent="0.2">
      <c r="F980" s="31"/>
      <c r="G980" s="31"/>
      <c r="H980" s="31"/>
    </row>
    <row r="981" spans="6:8" ht="12.75" customHeight="1" x14ac:dyDescent="0.2">
      <c r="F981" s="31"/>
      <c r="G981" s="31"/>
      <c r="H981" s="31"/>
    </row>
    <row r="982" spans="6:8" ht="12.75" customHeight="1" x14ac:dyDescent="0.2">
      <c r="F982" s="31"/>
      <c r="G982" s="31"/>
      <c r="H982" s="31"/>
    </row>
    <row r="983" spans="6:8" ht="12.75" customHeight="1" x14ac:dyDescent="0.2">
      <c r="F983" s="31"/>
      <c r="G983" s="31"/>
      <c r="H983" s="31"/>
    </row>
    <row r="984" spans="6:8" ht="12.75" customHeight="1" x14ac:dyDescent="0.2">
      <c r="F984" s="31"/>
      <c r="G984" s="31"/>
      <c r="H984" s="31"/>
    </row>
    <row r="985" spans="6:8" ht="12.75" customHeight="1" x14ac:dyDescent="0.2">
      <c r="F985" s="31"/>
      <c r="G985" s="31"/>
      <c r="H985" s="31"/>
    </row>
    <row r="986" spans="6:8" ht="12.75" customHeight="1" x14ac:dyDescent="0.2">
      <c r="F986" s="31"/>
      <c r="G986" s="31"/>
      <c r="H986" s="31"/>
    </row>
    <row r="987" spans="6:8" ht="12.75" customHeight="1" x14ac:dyDescent="0.2">
      <c r="F987" s="31"/>
      <c r="G987" s="31"/>
      <c r="H987" s="31"/>
    </row>
    <row r="988" spans="6:8" ht="12.75" customHeight="1" x14ac:dyDescent="0.2">
      <c r="F988" s="31"/>
      <c r="G988" s="31"/>
      <c r="H988" s="31"/>
    </row>
    <row r="989" spans="6:8" ht="12.75" customHeight="1" x14ac:dyDescent="0.2">
      <c r="F989" s="31"/>
      <c r="G989" s="31"/>
      <c r="H989" s="31"/>
    </row>
    <row r="990" spans="6:8" ht="12.75" customHeight="1" x14ac:dyDescent="0.2">
      <c r="F990" s="31"/>
      <c r="G990" s="31"/>
      <c r="H990" s="31"/>
    </row>
    <row r="991" spans="6:8" ht="12.75" customHeight="1" x14ac:dyDescent="0.2">
      <c r="F991" s="31"/>
      <c r="G991" s="31"/>
      <c r="H991" s="31"/>
    </row>
    <row r="992" spans="6:8" ht="12.75" customHeight="1" x14ac:dyDescent="0.2">
      <c r="F992" s="31"/>
      <c r="G992" s="31"/>
      <c r="H992" s="31"/>
    </row>
    <row r="993" spans="6:8" ht="12.75" customHeight="1" x14ac:dyDescent="0.2">
      <c r="F993" s="31"/>
      <c r="G993" s="31"/>
      <c r="H993" s="31"/>
    </row>
    <row r="994" spans="6:8" ht="12.75" customHeight="1" x14ac:dyDescent="0.2">
      <c r="F994" s="31"/>
      <c r="G994" s="31"/>
      <c r="H994" s="31"/>
    </row>
    <row r="995" spans="6:8" ht="12.75" customHeight="1" x14ac:dyDescent="0.2">
      <c r="F995" s="31"/>
      <c r="G995" s="31"/>
      <c r="H995" s="31"/>
    </row>
    <row r="996" spans="6:8" ht="12.75" customHeight="1" x14ac:dyDescent="0.2">
      <c r="F996" s="31"/>
      <c r="G996" s="31"/>
      <c r="H996" s="31"/>
    </row>
    <row r="997" spans="6:8" ht="12.75" customHeight="1" x14ac:dyDescent="0.2">
      <c r="F997" s="31"/>
      <c r="G997" s="31"/>
      <c r="H997" s="31"/>
    </row>
    <row r="998" spans="6:8" ht="12.75" customHeight="1" x14ac:dyDescent="0.2">
      <c r="F998" s="31"/>
      <c r="G998" s="31"/>
      <c r="H998" s="31"/>
    </row>
    <row r="999" spans="6:8" ht="12.75" customHeight="1" x14ac:dyDescent="0.2">
      <c r="F999" s="31"/>
      <c r="G999" s="31"/>
      <c r="H999" s="31"/>
    </row>
  </sheetData>
  <dataValidations disablePrompts="1" count="1">
    <dataValidation type="list" allowBlank="1" showErrorMessage="1" sqref="F1" xr:uid="{00000000-0002-0000-0A00-000001000000}">
      <formula1>Years</formula1>
    </dataValidation>
  </dataValidations>
  <pageMargins left="0.75" right="0.75" top="1" bottom="1" header="0" footer="0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DDD52-4D63-41F2-A1C5-0F488B986458}">
  <sheetPr codeName="Sheet16"/>
  <dimension ref="A1:L6"/>
  <sheetViews>
    <sheetView workbookViewId="0">
      <selection activeCell="L4" sqref="L4"/>
    </sheetView>
  </sheetViews>
  <sheetFormatPr defaultRowHeight="12.75" x14ac:dyDescent="0.2"/>
  <cols>
    <col min="1" max="4" width="10.7109375" customWidth="1"/>
    <col min="5" max="5" width="30.7109375" customWidth="1"/>
    <col min="6" max="9" width="14.7109375" customWidth="1"/>
  </cols>
  <sheetData>
    <row r="1" spans="1:12" x14ac:dyDescent="0.2">
      <c r="D1" t="s">
        <v>107</v>
      </c>
      <c r="E1" t="s">
        <v>710</v>
      </c>
      <c r="G1" t="s">
        <v>104</v>
      </c>
    </row>
    <row r="2" spans="1:12" x14ac:dyDescent="0.2">
      <c r="D2" t="s">
        <v>114</v>
      </c>
      <c r="E2" t="s">
        <v>711</v>
      </c>
      <c r="G2">
        <v>3</v>
      </c>
      <c r="I2" t="s">
        <v>41</v>
      </c>
      <c r="J2" s="40" t="s">
        <v>712</v>
      </c>
      <c r="K2" s="50" t="s">
        <v>50</v>
      </c>
      <c r="L2" s="50" t="s">
        <v>704</v>
      </c>
    </row>
    <row r="3" spans="1:12" x14ac:dyDescent="0.2">
      <c r="A3">
        <f>COUNTIF(A5:A65347, "&lt;&gt;")</f>
        <v>2</v>
      </c>
      <c r="B3">
        <f>MAX(B5:B852)</f>
        <v>2023</v>
      </c>
      <c r="D3" s="89">
        <f>INDEX(D5:D65346, A3)</f>
        <v>45021</v>
      </c>
      <c r="G3" t="s">
        <v>40</v>
      </c>
      <c r="H3" s="69">
        <f>INDEX(H5:H65343, A3)</f>
        <v>1600</v>
      </c>
      <c r="I3" s="89">
        <v>45139</v>
      </c>
      <c r="J3" s="64">
        <v>5</v>
      </c>
      <c r="K3" s="92">
        <v>35</v>
      </c>
      <c r="L3" s="92">
        <v>1600</v>
      </c>
    </row>
    <row r="4" spans="1:12" x14ac:dyDescent="0.2">
      <c r="A4" s="90" t="s">
        <v>42</v>
      </c>
      <c r="B4" s="90" t="s">
        <v>10</v>
      </c>
      <c r="C4" s="90" t="s">
        <v>54</v>
      </c>
      <c r="D4" s="90" t="s">
        <v>43</v>
      </c>
      <c r="E4" s="90" t="s">
        <v>44</v>
      </c>
      <c r="F4" s="90" t="s">
        <v>45</v>
      </c>
      <c r="G4" s="90" t="s">
        <v>46</v>
      </c>
      <c r="H4" s="90" t="s">
        <v>47</v>
      </c>
      <c r="I4" s="90" t="s">
        <v>676</v>
      </c>
    </row>
    <row r="5" spans="1:12" x14ac:dyDescent="0.2">
      <c r="A5">
        <v>8</v>
      </c>
      <c r="B5">
        <v>2023</v>
      </c>
      <c r="C5" t="str">
        <f>IFERROR("Late Fee "&amp;FIND("Late Fee",E5),IFERROR("Internet "&amp;FIND("Internet",E5),IFERROR("Utilities "&amp;FIND("Utilities",E5),IFERROR("Rent: "&amp;FIND("Rent",E5),IFERROR("Priv Tax: "&amp;FIND("Tax",E5),IFERROR("Income: "&amp;FIND("Payment",E5,1),""))))))</f>
        <v/>
      </c>
      <c r="D5" s="91">
        <v>45139</v>
      </c>
      <c r="E5" t="s">
        <v>686</v>
      </c>
      <c r="F5" s="69">
        <v>0</v>
      </c>
      <c r="G5" s="69">
        <v>0</v>
      </c>
      <c r="H5" s="69">
        <f xml:space="preserve"> G5 - F5</f>
        <v>0</v>
      </c>
      <c r="I5">
        <v>3761</v>
      </c>
    </row>
    <row r="6" spans="1:12" x14ac:dyDescent="0.2">
      <c r="A6">
        <v>4</v>
      </c>
      <c r="B6">
        <v>2023</v>
      </c>
      <c r="C6" t="str">
        <f>IFERROR("Late Fee "&amp;FIND("Late Fee",E6),IFERROR("Internet "&amp;FIND("Internet",E6),IFERROR("Utilities "&amp;FIND("Utilities",E6),IFERROR("Rent: "&amp;FIND("Rent",E6),IFERROR("Priv Tax: "&amp;FIND("Tax",E6),IFERROR("Income: "&amp;FIND("Payment",E6,1),""))))))</f>
        <v>Rent: 1</v>
      </c>
      <c r="D6" s="91">
        <v>45021</v>
      </c>
      <c r="E6" t="s">
        <v>704</v>
      </c>
      <c r="F6" s="69">
        <v>0</v>
      </c>
      <c r="G6" s="69">
        <v>1600</v>
      </c>
      <c r="H6" s="69">
        <f xml:space="preserve"> H5 + G6 - F6</f>
        <v>1600</v>
      </c>
      <c r="I6">
        <v>3769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10B1D-2673-4EBA-9DCC-4C998DC31297}">
  <sheetPr codeName="Sheet15"/>
  <dimension ref="A1:L5"/>
  <sheetViews>
    <sheetView workbookViewId="0">
      <selection activeCell="L4" sqref="L4"/>
    </sheetView>
  </sheetViews>
  <sheetFormatPr defaultRowHeight="12.75" x14ac:dyDescent="0.2"/>
  <cols>
    <col min="1" max="4" width="10.7109375" customWidth="1"/>
    <col min="5" max="5" width="30.7109375" customWidth="1"/>
    <col min="6" max="9" width="14.7109375" customWidth="1"/>
  </cols>
  <sheetData>
    <row r="1" spans="1:12" x14ac:dyDescent="0.2">
      <c r="D1" t="s">
        <v>107</v>
      </c>
      <c r="E1" t="s">
        <v>705</v>
      </c>
      <c r="G1" t="s">
        <v>104</v>
      </c>
    </row>
    <row r="2" spans="1:12" x14ac:dyDescent="0.2">
      <c r="D2" t="s">
        <v>114</v>
      </c>
      <c r="E2" t="s">
        <v>706</v>
      </c>
      <c r="G2">
        <v>7</v>
      </c>
      <c r="I2" t="s">
        <v>41</v>
      </c>
      <c r="J2" s="40" t="s">
        <v>712</v>
      </c>
      <c r="K2" s="50" t="s">
        <v>50</v>
      </c>
      <c r="L2" s="50" t="s">
        <v>704</v>
      </c>
    </row>
    <row r="3" spans="1:12" x14ac:dyDescent="0.2">
      <c r="A3">
        <f>COUNTIF(A5:A65347, "&lt;&gt;")</f>
        <v>1</v>
      </c>
      <c r="B3">
        <f>MAX(B5:B852)</f>
        <v>2023</v>
      </c>
      <c r="D3" s="91">
        <f>INDEX(D5:D65346, A3)</f>
        <v>44927</v>
      </c>
      <c r="G3" t="s">
        <v>40</v>
      </c>
      <c r="H3" s="69">
        <f>INDEX(H5:H65343, A3)</f>
        <v>0</v>
      </c>
      <c r="I3" s="89">
        <v>44927</v>
      </c>
      <c r="J3" s="64">
        <v>5</v>
      </c>
      <c r="K3" s="92">
        <v>35</v>
      </c>
      <c r="L3" s="92">
        <v>1600</v>
      </c>
    </row>
    <row r="4" spans="1:12" x14ac:dyDescent="0.2">
      <c r="A4" s="90" t="s">
        <v>42</v>
      </c>
      <c r="B4" s="90" t="s">
        <v>10</v>
      </c>
      <c r="C4" s="90" t="s">
        <v>54</v>
      </c>
      <c r="D4" s="90" t="s">
        <v>43</v>
      </c>
      <c r="E4" s="90" t="s">
        <v>44</v>
      </c>
      <c r="F4" s="90" t="s">
        <v>45</v>
      </c>
      <c r="G4" s="90" t="s">
        <v>46</v>
      </c>
      <c r="H4" s="90" t="s">
        <v>47</v>
      </c>
      <c r="I4" s="90" t="s">
        <v>676</v>
      </c>
    </row>
    <row r="5" spans="1:12" x14ac:dyDescent="0.2">
      <c r="A5">
        <v>1</v>
      </c>
      <c r="B5">
        <v>2023</v>
      </c>
      <c r="C5" t="str">
        <f>IFERROR("Late Fee "&amp;FIND("Late Fee",E5),IFERROR("Internet "&amp;FIND("Internet",E5),IFERROR("Utilities "&amp;FIND("Utilities",E5),IFERROR("Rent: "&amp;FIND("Rent",E5),IFERROR("Priv Tax: "&amp;FIND("Tax",E5),IFERROR("Income: "&amp;FIND("Payment",E5,1),""))))))</f>
        <v/>
      </c>
      <c r="D5" s="91">
        <v>44927</v>
      </c>
      <c r="E5" t="s">
        <v>686</v>
      </c>
      <c r="F5" s="69">
        <v>0</v>
      </c>
      <c r="G5" s="69">
        <v>0</v>
      </c>
      <c r="H5" s="69">
        <f xml:space="preserve"> G5 - F5</f>
        <v>0</v>
      </c>
      <c r="I5">
        <v>3756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CB22F-7143-433B-A39E-A40427610F63}">
  <sheetPr codeName="Sheet17"/>
  <dimension ref="A1:L5"/>
  <sheetViews>
    <sheetView workbookViewId="0">
      <selection activeCell="L4" sqref="L4"/>
    </sheetView>
  </sheetViews>
  <sheetFormatPr defaultRowHeight="12.75" x14ac:dyDescent="0.2"/>
  <cols>
    <col min="1" max="4" width="10.7109375" customWidth="1"/>
    <col min="5" max="5" width="30.7109375" customWidth="1"/>
    <col min="6" max="9" width="14.7109375" customWidth="1"/>
  </cols>
  <sheetData>
    <row r="1" spans="1:12" x14ac:dyDescent="0.2">
      <c r="D1" t="s">
        <v>107</v>
      </c>
      <c r="E1" t="s">
        <v>707</v>
      </c>
      <c r="G1" t="s">
        <v>104</v>
      </c>
    </row>
    <row r="2" spans="1:12" x14ac:dyDescent="0.2">
      <c r="D2" t="s">
        <v>114</v>
      </c>
      <c r="E2" t="s">
        <v>708</v>
      </c>
      <c r="G2">
        <v>0</v>
      </c>
      <c r="I2" t="s">
        <v>41</v>
      </c>
      <c r="J2" s="40" t="s">
        <v>712</v>
      </c>
      <c r="K2" s="50" t="s">
        <v>50</v>
      </c>
      <c r="L2" s="50" t="s">
        <v>704</v>
      </c>
    </row>
    <row r="3" spans="1:12" x14ac:dyDescent="0.2">
      <c r="A3">
        <f>COUNTIF(A5:A65347, "&lt;&gt;")</f>
        <v>1</v>
      </c>
      <c r="B3">
        <f>MAX(B5:B852)</f>
        <v>2023</v>
      </c>
      <c r="D3" s="89">
        <f>INDEX(D5:D65346, A3)</f>
        <v>44927</v>
      </c>
      <c r="G3" t="s">
        <v>40</v>
      </c>
      <c r="H3" s="69">
        <f>INDEX(H5:H65343, A3)</f>
        <v>0</v>
      </c>
      <c r="I3" s="89">
        <v>44927</v>
      </c>
      <c r="J3" s="64">
        <v>5</v>
      </c>
      <c r="K3" s="92">
        <v>35</v>
      </c>
      <c r="L3" s="92">
        <v>2000</v>
      </c>
    </row>
    <row r="4" spans="1:12" x14ac:dyDescent="0.2">
      <c r="A4" s="90" t="s">
        <v>42</v>
      </c>
      <c r="B4" s="90" t="s">
        <v>10</v>
      </c>
      <c r="C4" s="90" t="s">
        <v>54</v>
      </c>
      <c r="D4" s="90" t="s">
        <v>43</v>
      </c>
      <c r="E4" s="90" t="s">
        <v>44</v>
      </c>
      <c r="F4" s="90" t="s">
        <v>45</v>
      </c>
      <c r="G4" s="90" t="s">
        <v>46</v>
      </c>
      <c r="H4" s="90" t="s">
        <v>47</v>
      </c>
      <c r="I4" s="90" t="s">
        <v>676</v>
      </c>
    </row>
    <row r="5" spans="1:12" x14ac:dyDescent="0.2">
      <c r="A5">
        <v>1</v>
      </c>
      <c r="B5">
        <v>2023</v>
      </c>
      <c r="C5" t="str">
        <f>IFERROR("Late Fee "&amp;FIND("Late Fee",E5),IFERROR("Internet "&amp;FIND("Internet",E5),IFERROR("Utilities "&amp;FIND("Utilities",E5),IFERROR("Rent: "&amp;FIND("Rent",E5),IFERROR("Priv Tax: "&amp;FIND("Tax",E5),IFERROR("Income: "&amp;FIND("Payment",E5,1),""))))))</f>
        <v/>
      </c>
      <c r="D5" s="91">
        <v>44927</v>
      </c>
      <c r="E5" t="s">
        <v>686</v>
      </c>
      <c r="F5" s="69">
        <v>0</v>
      </c>
      <c r="G5" s="69">
        <v>0</v>
      </c>
      <c r="H5" s="69">
        <f xml:space="preserve"> G5 - F5</f>
        <v>0</v>
      </c>
      <c r="I5">
        <v>3758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91F0-E663-46CD-9430-DDB3D3724E79}">
  <sheetPr codeName="Sheet14"/>
  <dimension ref="A1:L6"/>
  <sheetViews>
    <sheetView workbookViewId="0">
      <selection activeCell="L4" sqref="L4"/>
    </sheetView>
  </sheetViews>
  <sheetFormatPr defaultRowHeight="12.75" x14ac:dyDescent="0.2"/>
  <cols>
    <col min="1" max="4" width="10.7109375" customWidth="1"/>
    <col min="5" max="5" width="30.7109375" customWidth="1"/>
    <col min="6" max="9" width="14.7109375" customWidth="1"/>
  </cols>
  <sheetData>
    <row r="1" spans="1:12" x14ac:dyDescent="0.2">
      <c r="D1" t="s">
        <v>107</v>
      </c>
      <c r="E1" t="s">
        <v>702</v>
      </c>
      <c r="G1" t="s">
        <v>104</v>
      </c>
    </row>
    <row r="2" spans="1:12" x14ac:dyDescent="0.2">
      <c r="D2" t="s">
        <v>114</v>
      </c>
      <c r="E2" t="s">
        <v>703</v>
      </c>
      <c r="G2">
        <v>5</v>
      </c>
      <c r="I2" t="s">
        <v>41</v>
      </c>
      <c r="J2" s="40" t="s">
        <v>712</v>
      </c>
      <c r="K2" s="50" t="s">
        <v>50</v>
      </c>
      <c r="L2" s="50" t="s">
        <v>704</v>
      </c>
    </row>
    <row r="3" spans="1:12" x14ac:dyDescent="0.2">
      <c r="A3">
        <f>COUNTIF(A5:A65347, "&lt;&gt;")</f>
        <v>1</v>
      </c>
      <c r="B3">
        <f>MAX(B5:B852)</f>
        <v>2023</v>
      </c>
      <c r="D3" s="91">
        <f>INDEX(D5:D65346, A3)</f>
        <v>45144</v>
      </c>
      <c r="G3" t="s">
        <v>40</v>
      </c>
      <c r="H3" s="69">
        <f>INDEX(H5:H65343, A3)</f>
        <v>0</v>
      </c>
      <c r="I3" s="89">
        <v>45144</v>
      </c>
      <c r="J3" s="64">
        <v>5</v>
      </c>
      <c r="K3" s="92">
        <v>35</v>
      </c>
      <c r="L3" s="92">
        <v>1550</v>
      </c>
    </row>
    <row r="4" spans="1:12" x14ac:dyDescent="0.2">
      <c r="A4" s="90" t="s">
        <v>42</v>
      </c>
      <c r="B4" s="90" t="s">
        <v>10</v>
      </c>
      <c r="C4" s="90" t="s">
        <v>54</v>
      </c>
      <c r="D4" s="90" t="s">
        <v>43</v>
      </c>
      <c r="E4" s="90" t="s">
        <v>44</v>
      </c>
      <c r="F4" s="90" t="s">
        <v>45</v>
      </c>
      <c r="G4" s="90" t="s">
        <v>46</v>
      </c>
      <c r="H4" s="90" t="s">
        <v>47</v>
      </c>
      <c r="I4" s="90" t="s">
        <v>676</v>
      </c>
    </row>
    <row r="5" spans="1:12" x14ac:dyDescent="0.2">
      <c r="A5">
        <v>8</v>
      </c>
      <c r="B5">
        <v>2023</v>
      </c>
      <c r="C5" t="str">
        <f>IFERROR("Late Fee "&amp;FIND("Late Fee",E5),IFERROR("Internet "&amp;FIND("Internet",E5),IFERROR("Utilities "&amp;FIND("Utilities",E5),IFERROR("Rent: "&amp;FIND("Rent",E5),IFERROR("Priv Tax: "&amp;FIND("Tax",E5),IFERROR("Income: "&amp;FIND("Payment",E5,1),""))))))</f>
        <v/>
      </c>
      <c r="D5" s="91">
        <v>45144</v>
      </c>
      <c r="E5" t="s">
        <v>686</v>
      </c>
      <c r="F5" s="69">
        <v>0</v>
      </c>
      <c r="G5" s="69">
        <v>0</v>
      </c>
      <c r="H5" s="69">
        <f xml:space="preserve"> G5 - F5</f>
        <v>0</v>
      </c>
      <c r="I5">
        <v>3754</v>
      </c>
    </row>
    <row r="6" spans="1:12" x14ac:dyDescent="0.2">
      <c r="D6" s="91"/>
      <c r="F6" s="69"/>
      <c r="G6" s="69"/>
      <c r="H6" s="6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0BA70-81F4-41BF-83B6-B5C53C336292}">
  <sheetPr codeName="Sheet13"/>
  <dimension ref="A1:L7"/>
  <sheetViews>
    <sheetView workbookViewId="0">
      <selection activeCell="L4" sqref="L4"/>
    </sheetView>
  </sheetViews>
  <sheetFormatPr defaultRowHeight="12.75" x14ac:dyDescent="0.2"/>
  <cols>
    <col min="1" max="4" width="10.7109375" customWidth="1"/>
    <col min="5" max="5" width="30.7109375" customWidth="1"/>
    <col min="6" max="9" width="14.7109375" customWidth="1"/>
  </cols>
  <sheetData>
    <row r="1" spans="1:12" x14ac:dyDescent="0.2">
      <c r="D1" t="s">
        <v>107</v>
      </c>
      <c r="E1" t="s">
        <v>701</v>
      </c>
      <c r="G1" t="s">
        <v>104</v>
      </c>
    </row>
    <row r="2" spans="1:12" x14ac:dyDescent="0.2">
      <c r="D2" t="s">
        <v>114</v>
      </c>
      <c r="E2" t="s">
        <v>718</v>
      </c>
      <c r="G2">
        <v>2</v>
      </c>
      <c r="I2" t="s">
        <v>41</v>
      </c>
      <c r="J2" s="40" t="s">
        <v>712</v>
      </c>
      <c r="K2" s="50" t="s">
        <v>50</v>
      </c>
      <c r="L2" s="50" t="s">
        <v>704</v>
      </c>
    </row>
    <row r="3" spans="1:12" x14ac:dyDescent="0.2">
      <c r="A3">
        <f>COUNTIF(A5:A65347, "&lt;&gt;")</f>
        <v>3</v>
      </c>
      <c r="B3">
        <f>MAX(B5:B852)</f>
        <v>2023</v>
      </c>
      <c r="D3" s="91">
        <f>INDEX(D5:D65346, A3)</f>
        <v>45022</v>
      </c>
      <c r="G3" t="s">
        <v>40</v>
      </c>
      <c r="H3" s="69">
        <f>INDEX(H5:H65343, A3)</f>
        <v>1235</v>
      </c>
      <c r="I3" s="89">
        <v>45158</v>
      </c>
      <c r="J3" s="64">
        <v>5</v>
      </c>
      <c r="K3" s="92">
        <v>35</v>
      </c>
      <c r="L3" s="92">
        <v>1200</v>
      </c>
    </row>
    <row r="4" spans="1:12" x14ac:dyDescent="0.2">
      <c r="A4" s="90" t="s">
        <v>42</v>
      </c>
      <c r="B4" s="90" t="s">
        <v>10</v>
      </c>
      <c r="C4" s="90" t="s">
        <v>54</v>
      </c>
      <c r="D4" s="90" t="s">
        <v>43</v>
      </c>
      <c r="E4" s="90" t="s">
        <v>44</v>
      </c>
      <c r="F4" s="90" t="s">
        <v>45</v>
      </c>
      <c r="G4" s="90" t="s">
        <v>46</v>
      </c>
      <c r="H4" s="90" t="s">
        <v>47</v>
      </c>
      <c r="I4" s="90" t="s">
        <v>676</v>
      </c>
    </row>
    <row r="5" spans="1:12" x14ac:dyDescent="0.2">
      <c r="A5">
        <v>8</v>
      </c>
      <c r="B5">
        <v>2023</v>
      </c>
      <c r="C5" t="str">
        <f>IFERROR("Late Fee "&amp;FIND("Late Fee",E5),IFERROR("Internet "&amp;FIND("Internet",E5),IFERROR("Utilities "&amp;FIND("Utilities",E5),IFERROR("Rent: "&amp;FIND("Rent",E5),IFERROR("Priv Tax: "&amp;FIND("Tax",E5),IFERROR("Income: "&amp;FIND("Payment",E5,1),""))))))</f>
        <v/>
      </c>
      <c r="D5" s="91">
        <v>45158</v>
      </c>
      <c r="E5" t="s">
        <v>686</v>
      </c>
      <c r="F5" s="69">
        <v>0</v>
      </c>
      <c r="G5" s="69">
        <v>0</v>
      </c>
      <c r="H5" s="69">
        <f xml:space="preserve"> G5 - F5</f>
        <v>0</v>
      </c>
      <c r="I5">
        <v>3749</v>
      </c>
    </row>
    <row r="6" spans="1:12" x14ac:dyDescent="0.2">
      <c r="A6">
        <v>1</v>
      </c>
      <c r="B6">
        <v>2023</v>
      </c>
      <c r="C6" t="str">
        <f>IFERROR("Late Fee "&amp;FIND("Late Fee",E6),IFERROR("Internet "&amp;FIND("Internet",E6),IFERROR("Utilities "&amp;FIND("Utilities",E6),IFERROR("Rent: "&amp;FIND("Rent",E6),IFERROR("Priv Tax: "&amp;FIND("Tax",E6),IFERROR("Income: "&amp;FIND("Payment",E6,1),""))))))</f>
        <v>Rent: 1</v>
      </c>
      <c r="D6" s="91">
        <v>44927</v>
      </c>
      <c r="E6" t="s">
        <v>704</v>
      </c>
      <c r="F6" s="69">
        <v>0</v>
      </c>
      <c r="G6" s="69">
        <v>1200</v>
      </c>
      <c r="H6" s="69">
        <f xml:space="preserve"> H5 + G6 - F6</f>
        <v>1200</v>
      </c>
      <c r="I6">
        <v>3755</v>
      </c>
    </row>
    <row r="7" spans="1:12" x14ac:dyDescent="0.2">
      <c r="A7">
        <v>4</v>
      </c>
      <c r="B7">
        <v>2023</v>
      </c>
      <c r="C7" t="str">
        <f>IFERROR("Late Fee "&amp;FIND("Late Fee",E7),IFERROR("Internet "&amp;FIND("Internet",E7),IFERROR("Utilities "&amp;FIND("Utilities",E7),IFERROR("Rent: "&amp;FIND("Rent",E7),IFERROR("Priv Tax: "&amp;FIND("Tax",E7),IFERROR("Income: "&amp;FIND("Payment",E7,1),""))))))</f>
        <v>Late Fee 1</v>
      </c>
      <c r="D7" s="91">
        <v>45022</v>
      </c>
      <c r="E7" t="s">
        <v>50</v>
      </c>
      <c r="F7" s="69">
        <v>0</v>
      </c>
      <c r="G7" s="69">
        <v>35</v>
      </c>
      <c r="H7" s="69">
        <f xml:space="preserve"> H6 + G7 - F7</f>
        <v>1235</v>
      </c>
      <c r="I7">
        <v>3770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B005-A627-4E1E-8090-CD3821496A8C}">
  <sheetPr codeName="Sheet12"/>
  <dimension ref="A1:L8"/>
  <sheetViews>
    <sheetView workbookViewId="0">
      <selection activeCell="L4" sqref="L4"/>
    </sheetView>
  </sheetViews>
  <sheetFormatPr defaultRowHeight="12.75" x14ac:dyDescent="0.2"/>
  <cols>
    <col min="1" max="4" width="10.7109375" customWidth="1"/>
    <col min="5" max="5" width="30.7109375" customWidth="1"/>
    <col min="6" max="9" width="14.7109375" customWidth="1"/>
  </cols>
  <sheetData>
    <row r="1" spans="1:12" x14ac:dyDescent="0.2">
      <c r="D1" t="s">
        <v>107</v>
      </c>
      <c r="E1" t="s">
        <v>698</v>
      </c>
      <c r="G1" t="s">
        <v>104</v>
      </c>
    </row>
    <row r="2" spans="1:12" x14ac:dyDescent="0.2">
      <c r="D2" t="s">
        <v>114</v>
      </c>
      <c r="E2" t="s">
        <v>699</v>
      </c>
      <c r="G2">
        <v>5</v>
      </c>
      <c r="I2" t="s">
        <v>41</v>
      </c>
      <c r="J2" s="40" t="s">
        <v>712</v>
      </c>
      <c r="K2" s="50" t="s">
        <v>50</v>
      </c>
      <c r="L2" s="50" t="s">
        <v>704</v>
      </c>
    </row>
    <row r="3" spans="1:12" x14ac:dyDescent="0.2">
      <c r="A3">
        <f>COUNTIF(A5:A65347, "&lt;&gt;")</f>
        <v>4</v>
      </c>
      <c r="B3">
        <f>MAX(B5:B852)</f>
        <v>2023</v>
      </c>
      <c r="D3" s="91">
        <f>INDEX(D5:D65346, A3)</f>
        <v>44927</v>
      </c>
      <c r="G3" t="s">
        <v>40</v>
      </c>
      <c r="H3" s="69">
        <f>INDEX(H5:H65343, A3)</f>
        <v>-1200</v>
      </c>
      <c r="I3" s="89">
        <v>45114</v>
      </c>
      <c r="J3" s="64">
        <v>5</v>
      </c>
      <c r="K3" s="92">
        <v>35</v>
      </c>
      <c r="L3" s="92">
        <v>2000</v>
      </c>
    </row>
    <row r="4" spans="1:12" x14ac:dyDescent="0.2">
      <c r="A4" s="90" t="s">
        <v>42</v>
      </c>
      <c r="B4" s="90" t="s">
        <v>10</v>
      </c>
      <c r="C4" s="90" t="s">
        <v>54</v>
      </c>
      <c r="D4" s="90" t="s">
        <v>43</v>
      </c>
      <c r="E4" s="90" t="s">
        <v>44</v>
      </c>
      <c r="F4" s="90" t="s">
        <v>45</v>
      </c>
      <c r="G4" s="90" t="s">
        <v>46</v>
      </c>
      <c r="H4" s="90" t="s">
        <v>47</v>
      </c>
      <c r="I4" s="90" t="s">
        <v>676</v>
      </c>
    </row>
    <row r="5" spans="1:12" x14ac:dyDescent="0.2">
      <c r="A5">
        <v>7</v>
      </c>
      <c r="B5">
        <v>2023</v>
      </c>
      <c r="C5" t="str">
        <f>IFERROR("Late Fee "&amp;FIND("Late Fee",E5),IFERROR("Internet "&amp;FIND("Internet",E5),IFERROR("Utilities "&amp;FIND("Utilities",E5),IFERROR("Rent: "&amp;FIND("Rent",E5),IFERROR("Priv Tax: "&amp;FIND("Tax",E5),IFERROR("Income: "&amp;FIND("Payment",E5,1),""))))))</f>
        <v/>
      </c>
      <c r="D5" s="91">
        <v>45114</v>
      </c>
      <c r="E5" t="s">
        <v>686</v>
      </c>
      <c r="F5" s="69">
        <v>0</v>
      </c>
      <c r="G5" s="69">
        <v>0</v>
      </c>
      <c r="H5" s="69">
        <f xml:space="preserve"> G5 - F5</f>
        <v>0</v>
      </c>
      <c r="I5">
        <v>3746</v>
      </c>
    </row>
    <row r="6" spans="1:12" x14ac:dyDescent="0.2">
      <c r="A6">
        <v>3</v>
      </c>
      <c r="B6">
        <v>2023</v>
      </c>
      <c r="C6" t="str">
        <f>IFERROR("Late Fee "&amp;FIND("Late Fee",E6),IFERROR("Internet "&amp;FIND("Internet",E6),IFERROR("Utilities "&amp;FIND("Utilities",E6),IFERROR("Rent: "&amp;FIND("Rent",E6),IFERROR("Priv Tax: "&amp;FIND("Tax",E6),IFERROR("Income: "&amp;FIND("Payment",E6,1),""))))))</f>
        <v>Rent: 1</v>
      </c>
      <c r="D6" s="91">
        <v>45004</v>
      </c>
      <c r="E6" t="s">
        <v>700</v>
      </c>
      <c r="F6" s="69">
        <v>0</v>
      </c>
      <c r="G6" s="69">
        <v>2000</v>
      </c>
      <c r="H6" s="69">
        <f xml:space="preserve"> H5 + G6 - F6</f>
        <v>2000</v>
      </c>
      <c r="I6">
        <v>3747</v>
      </c>
    </row>
    <row r="7" spans="1:12" x14ac:dyDescent="0.2">
      <c r="A7">
        <v>3</v>
      </c>
      <c r="B7">
        <v>2023</v>
      </c>
      <c r="C7" t="str">
        <f>IFERROR("Late Fee "&amp;FIND("Late Fee",E7),IFERROR("Internet "&amp;FIND("Internet",E7),IFERROR("Utilities "&amp;FIND("Utilities",E7),IFERROR("Rent: "&amp;FIND("Rent",E7),IFERROR("Priv Tax: "&amp;FIND("Tax",E7),IFERROR("Income: "&amp;FIND("Payment",E7,1),""))))))</f>
        <v>Income: 1</v>
      </c>
      <c r="D7" s="91">
        <v>45013</v>
      </c>
      <c r="E7" t="s">
        <v>62</v>
      </c>
      <c r="F7" s="69">
        <v>2000</v>
      </c>
      <c r="G7" s="69">
        <v>0</v>
      </c>
      <c r="H7" s="69">
        <f xml:space="preserve"> H6 + G7 - F7</f>
        <v>0</v>
      </c>
      <c r="I7">
        <v>3748</v>
      </c>
    </row>
    <row r="8" spans="1:12" x14ac:dyDescent="0.2">
      <c r="A8">
        <v>1</v>
      </c>
      <c r="B8">
        <v>2023</v>
      </c>
      <c r="C8" t="str">
        <f>IFERROR("Late Fee "&amp;FIND("Late Fee",E8),IFERROR("Internet "&amp;FIND("Internet",E8),IFERROR("Utilities "&amp;FIND("Utilities",E8),IFERROR("Rent: "&amp;FIND("Rent",E8),IFERROR("Priv Tax: "&amp;FIND("Tax",E8),IFERROR("Income: "&amp;FIND("Payment",E8,1),""))))))</f>
        <v/>
      </c>
      <c r="D8" s="91">
        <v>44927</v>
      </c>
      <c r="F8" s="69">
        <v>1200</v>
      </c>
      <c r="G8" s="69">
        <v>0</v>
      </c>
      <c r="H8" s="69">
        <f xml:space="preserve"> H7 + G8 - F8</f>
        <v>-1200</v>
      </c>
      <c r="I8">
        <v>3750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R969"/>
  <sheetViews>
    <sheetView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L4" sqref="L4"/>
    </sheetView>
  </sheetViews>
  <sheetFormatPr defaultColWidth="12.5703125" defaultRowHeight="15" customHeight="1" x14ac:dyDescent="0.2"/>
  <cols>
    <col min="1" max="1" width="6.140625" customWidth="1"/>
    <col min="2" max="3" width="8.5703125" customWidth="1"/>
    <col min="4" max="4" width="10.140625" style="74" customWidth="1"/>
    <col min="5" max="5" width="36.28515625" customWidth="1"/>
    <col min="6" max="6" width="13.42578125" customWidth="1"/>
    <col min="7" max="8" width="14.7109375" customWidth="1"/>
    <col min="9" max="9" width="12.85546875" bestFit="1" customWidth="1"/>
    <col min="10" max="10" width="11.7109375" customWidth="1"/>
    <col min="11" max="11" width="8.5703125" customWidth="1"/>
    <col min="12" max="12" width="18.7109375" customWidth="1"/>
    <col min="13" max="26" width="8.5703125" customWidth="1"/>
  </cols>
  <sheetData>
    <row r="1" spans="1:18" ht="12.75" customHeight="1" x14ac:dyDescent="0.2">
      <c r="A1" s="43"/>
      <c r="B1" s="43"/>
      <c r="C1" s="43"/>
      <c r="D1" s="70" t="s">
        <v>107</v>
      </c>
      <c r="E1" s="50" t="s">
        <v>121</v>
      </c>
      <c r="F1" s="40"/>
      <c r="G1" s="40" t="s">
        <v>104</v>
      </c>
      <c r="H1" s="41"/>
      <c r="I1" s="40"/>
      <c r="J1" s="43"/>
    </row>
    <row r="2" spans="1:18" ht="12.75" customHeight="1" x14ac:dyDescent="0.2">
      <c r="A2" s="43"/>
      <c r="B2" s="43"/>
      <c r="C2" s="43"/>
      <c r="D2" s="71" t="s">
        <v>114</v>
      </c>
      <c r="E2" s="60" t="s">
        <v>122</v>
      </c>
      <c r="F2" s="44"/>
      <c r="G2" s="40">
        <v>5</v>
      </c>
      <c r="H2" s="41"/>
      <c r="I2" s="40" t="s">
        <v>41</v>
      </c>
      <c r="J2" s="40" t="s">
        <v>712</v>
      </c>
      <c r="K2" s="50" t="s">
        <v>50</v>
      </c>
      <c r="L2" s="50" t="s">
        <v>704</v>
      </c>
    </row>
    <row r="3" spans="1:18" ht="12.75" customHeight="1" x14ac:dyDescent="0.25">
      <c r="A3" s="45">
        <f>COUNTIF(A5:A65476, "&lt;&gt;")</f>
        <v>68</v>
      </c>
      <c r="B3" s="43">
        <f>MAX(B5:B852)</f>
        <v>2022</v>
      </c>
      <c r="C3" s="43"/>
      <c r="D3" s="83" t="str">
        <f t="array" ref="D3">INDEX(D5:D65475, A3)</f>
        <v>3/12/2021</v>
      </c>
      <c r="E3" s="59"/>
      <c r="F3" s="84"/>
      <c r="G3" s="85" t="s">
        <v>40</v>
      </c>
      <c r="H3" s="85" cm="1">
        <f t="array" ref="H3">INDEX(H5:H65475, A3)</f>
        <v>0</v>
      </c>
      <c r="I3" s="86">
        <v>45300</v>
      </c>
      <c r="J3" s="64">
        <v>5</v>
      </c>
      <c r="K3" s="92">
        <v>35</v>
      </c>
      <c r="L3" s="92">
        <v>1550</v>
      </c>
    </row>
    <row r="4" spans="1:18" ht="12.75" customHeight="1" x14ac:dyDescent="0.2">
      <c r="A4" s="38" t="s">
        <v>42</v>
      </c>
      <c r="B4" s="38" t="s">
        <v>10</v>
      </c>
      <c r="C4" s="38" t="s">
        <v>54</v>
      </c>
      <c r="D4" s="72" t="s">
        <v>43</v>
      </c>
      <c r="E4" s="38" t="s">
        <v>44</v>
      </c>
      <c r="F4" s="42" t="s">
        <v>45</v>
      </c>
      <c r="G4" s="42" t="s">
        <v>46</v>
      </c>
      <c r="H4" s="42" t="s">
        <v>47</v>
      </c>
      <c r="I4" s="66" t="s">
        <v>676</v>
      </c>
      <c r="J4" s="43"/>
    </row>
    <row r="5" spans="1:18" ht="12.75" customHeight="1" x14ac:dyDescent="0.25">
      <c r="A5" s="40">
        <v>4</v>
      </c>
      <c r="B5" s="40">
        <v>2021</v>
      </c>
      <c r="C5" s="40" t="str">
        <f t="shared" ref="C5:C36" si="0">IFERROR("Late Fee "&amp;FIND("Late Fee",E5),IFERROR("Internet "&amp;FIND("Internet",E5),IFERROR("Utilities "&amp;FIND("Utilities",E5),IFERROR("Rent: "&amp;FIND("Rent",E5),IFERROR("Priv Tax: "&amp;FIND("Tax",E5),IFERROR("Income: "&amp;FIND("Payment",E5,1),""))))))</f>
        <v>Rent: 1</v>
      </c>
      <c r="D5" s="77" t="s">
        <v>618</v>
      </c>
      <c r="E5" s="57" t="s">
        <v>169</v>
      </c>
      <c r="F5" s="41">
        <v>0</v>
      </c>
      <c r="G5" s="41">
        <v>1550</v>
      </c>
      <c r="H5" s="41">
        <f xml:space="preserve"> G5 - F5</f>
        <v>1550</v>
      </c>
      <c r="I5" s="43">
        <v>3620</v>
      </c>
      <c r="J5" s="43"/>
      <c r="K5" s="43"/>
      <c r="L5" s="43"/>
      <c r="M5" s="43"/>
    </row>
    <row r="6" spans="1:18" ht="12.75" customHeight="1" x14ac:dyDescent="0.2">
      <c r="A6" s="40">
        <v>4</v>
      </c>
      <c r="B6" s="40">
        <v>2021</v>
      </c>
      <c r="C6" s="40" t="str">
        <f t="shared" si="0"/>
        <v>Income: 1</v>
      </c>
      <c r="D6" s="77" t="s">
        <v>619</v>
      </c>
      <c r="E6" s="40" t="s">
        <v>49</v>
      </c>
      <c r="F6" s="41">
        <v>1550</v>
      </c>
      <c r="G6" s="41">
        <v>0</v>
      </c>
      <c r="H6" s="41">
        <f t="shared" ref="H6:H37" si="1" xml:space="preserve"> H5 + G6 - F6</f>
        <v>0</v>
      </c>
      <c r="I6" s="43">
        <v>3621</v>
      </c>
      <c r="J6" s="43"/>
      <c r="K6" s="43"/>
      <c r="L6" s="43"/>
      <c r="M6" s="43"/>
      <c r="N6" s="29"/>
      <c r="P6" s="29"/>
      <c r="R6" s="29"/>
    </row>
    <row r="7" spans="1:18" ht="12.75" customHeight="1" x14ac:dyDescent="0.2">
      <c r="A7" s="40">
        <v>5</v>
      </c>
      <c r="B7" s="40">
        <v>2021</v>
      </c>
      <c r="C7" s="40" t="str">
        <f t="shared" si="0"/>
        <v>Rent: 1</v>
      </c>
      <c r="D7" s="77" t="s">
        <v>620</v>
      </c>
      <c r="E7" s="40" t="s">
        <v>172</v>
      </c>
      <c r="F7" s="41">
        <v>0</v>
      </c>
      <c r="G7" s="41">
        <v>1550</v>
      </c>
      <c r="H7" s="41">
        <f t="shared" si="1"/>
        <v>1550</v>
      </c>
      <c r="I7" s="43">
        <v>3622</v>
      </c>
      <c r="J7" s="43"/>
      <c r="K7" s="43"/>
      <c r="L7" s="43"/>
      <c r="M7" s="43"/>
      <c r="N7" s="29"/>
      <c r="O7" s="29"/>
      <c r="P7" s="30"/>
      <c r="R7" s="30"/>
    </row>
    <row r="8" spans="1:18" ht="12.75" customHeight="1" x14ac:dyDescent="0.2">
      <c r="A8" s="40">
        <v>5</v>
      </c>
      <c r="B8" s="40">
        <v>2021</v>
      </c>
      <c r="C8" s="40" t="str">
        <f t="shared" si="0"/>
        <v>Income: 1</v>
      </c>
      <c r="D8" s="77" t="s">
        <v>621</v>
      </c>
      <c r="E8" s="40" t="s">
        <v>49</v>
      </c>
      <c r="F8" s="41">
        <v>1550</v>
      </c>
      <c r="G8" s="41">
        <v>0</v>
      </c>
      <c r="H8" s="41">
        <f t="shared" si="1"/>
        <v>0</v>
      </c>
      <c r="I8" s="43">
        <v>3623</v>
      </c>
      <c r="J8" s="43"/>
      <c r="K8" s="43"/>
      <c r="L8" s="45"/>
      <c r="M8" s="43"/>
      <c r="N8" s="29"/>
      <c r="O8" s="29"/>
      <c r="P8" s="30"/>
      <c r="R8" s="30"/>
    </row>
    <row r="9" spans="1:18" ht="12.75" customHeight="1" x14ac:dyDescent="0.2">
      <c r="A9" s="40">
        <v>6</v>
      </c>
      <c r="B9" s="40">
        <v>2021</v>
      </c>
      <c r="C9" s="40" t="str">
        <f t="shared" si="0"/>
        <v>Rent: 1</v>
      </c>
      <c r="D9" s="77" t="s">
        <v>622</v>
      </c>
      <c r="E9" s="40" t="s">
        <v>175</v>
      </c>
      <c r="F9" s="41">
        <v>0</v>
      </c>
      <c r="G9" s="41">
        <v>1550</v>
      </c>
      <c r="H9" s="41">
        <f t="shared" si="1"/>
        <v>1550</v>
      </c>
      <c r="I9" s="43">
        <v>3624</v>
      </c>
      <c r="J9" s="43"/>
      <c r="K9" s="43"/>
      <c r="L9" s="43"/>
      <c r="M9" s="43"/>
      <c r="Q9" s="29"/>
      <c r="R9" s="30"/>
    </row>
    <row r="10" spans="1:18" ht="12.75" customHeight="1" x14ac:dyDescent="0.2">
      <c r="A10" s="40">
        <v>6</v>
      </c>
      <c r="B10" s="40">
        <v>2021</v>
      </c>
      <c r="C10" s="40" t="str">
        <f t="shared" si="0"/>
        <v>Income: 1</v>
      </c>
      <c r="D10" s="77" t="s">
        <v>623</v>
      </c>
      <c r="E10" s="40" t="s">
        <v>49</v>
      </c>
      <c r="F10" s="41">
        <v>1550</v>
      </c>
      <c r="G10" s="41">
        <v>0</v>
      </c>
      <c r="H10" s="41">
        <f t="shared" si="1"/>
        <v>0</v>
      </c>
      <c r="I10" s="45">
        <v>3625</v>
      </c>
      <c r="J10" s="43"/>
      <c r="K10" s="41"/>
      <c r="L10" s="41"/>
      <c r="M10" s="43"/>
      <c r="Q10" s="29"/>
      <c r="R10" s="30"/>
    </row>
    <row r="11" spans="1:18" ht="12.75" customHeight="1" x14ac:dyDescent="0.2">
      <c r="A11" s="40">
        <v>7</v>
      </c>
      <c r="B11" s="40">
        <v>2021</v>
      </c>
      <c r="C11" s="40" t="str">
        <f t="shared" si="0"/>
        <v>Rent: 1</v>
      </c>
      <c r="D11" s="77" t="s">
        <v>624</v>
      </c>
      <c r="E11" s="40" t="s">
        <v>178</v>
      </c>
      <c r="F11" s="41">
        <v>0</v>
      </c>
      <c r="G11" s="41">
        <v>1550</v>
      </c>
      <c r="H11" s="41">
        <f t="shared" si="1"/>
        <v>1550</v>
      </c>
      <c r="I11" s="43">
        <v>3626</v>
      </c>
      <c r="J11" s="43"/>
      <c r="K11" s="43"/>
      <c r="L11" s="40"/>
      <c r="M11" s="43"/>
      <c r="Q11" s="29"/>
      <c r="R11" s="30"/>
    </row>
    <row r="12" spans="1:18" ht="12.75" customHeight="1" x14ac:dyDescent="0.2">
      <c r="A12" s="40">
        <v>7</v>
      </c>
      <c r="B12" s="40">
        <v>2021</v>
      </c>
      <c r="C12" s="40" t="str">
        <f t="shared" si="0"/>
        <v/>
      </c>
      <c r="D12" s="77" t="s">
        <v>625</v>
      </c>
      <c r="E12" s="40" t="s">
        <v>76</v>
      </c>
      <c r="F12" s="41">
        <v>139.84</v>
      </c>
      <c r="G12" s="41">
        <v>0</v>
      </c>
      <c r="H12" s="41">
        <f t="shared" si="1"/>
        <v>1410.16</v>
      </c>
      <c r="I12" s="43">
        <v>3627</v>
      </c>
      <c r="J12" s="43"/>
      <c r="K12" s="43"/>
      <c r="L12" s="43"/>
      <c r="M12" s="43"/>
    </row>
    <row r="13" spans="1:18" ht="12.75" customHeight="1" x14ac:dyDescent="0.2">
      <c r="A13" s="40">
        <v>7</v>
      </c>
      <c r="B13" s="40">
        <v>2021</v>
      </c>
      <c r="C13" s="40" t="str">
        <f t="shared" si="0"/>
        <v/>
      </c>
      <c r="D13" s="77" t="s">
        <v>625</v>
      </c>
      <c r="E13" s="40" t="s">
        <v>77</v>
      </c>
      <c r="F13" s="41">
        <v>10.33</v>
      </c>
      <c r="G13" s="41">
        <v>0</v>
      </c>
      <c r="H13" s="41">
        <f t="shared" si="1"/>
        <v>1399.8300000000002</v>
      </c>
      <c r="I13" s="43">
        <v>3628</v>
      </c>
      <c r="J13" s="43"/>
      <c r="K13" s="43"/>
      <c r="L13" s="40"/>
      <c r="M13" s="43"/>
    </row>
    <row r="14" spans="1:18" ht="12.75" customHeight="1" x14ac:dyDescent="0.2">
      <c r="A14" s="40">
        <v>7</v>
      </c>
      <c r="B14" s="40">
        <v>2021</v>
      </c>
      <c r="C14" s="40" t="str">
        <f t="shared" si="0"/>
        <v/>
      </c>
      <c r="D14" s="77" t="s">
        <v>625</v>
      </c>
      <c r="E14" s="40" t="s">
        <v>78</v>
      </c>
      <c r="F14" s="41">
        <v>63.96</v>
      </c>
      <c r="G14" s="41">
        <v>0</v>
      </c>
      <c r="H14" s="41">
        <f t="shared" si="1"/>
        <v>1335.8700000000001</v>
      </c>
      <c r="I14" s="43">
        <v>3629</v>
      </c>
      <c r="J14" s="43"/>
      <c r="K14" s="43"/>
      <c r="L14" s="43"/>
      <c r="M14" s="43"/>
    </row>
    <row r="15" spans="1:18" ht="12.75" customHeight="1" x14ac:dyDescent="0.2">
      <c r="A15" s="40">
        <v>7</v>
      </c>
      <c r="B15" s="40">
        <v>2021</v>
      </c>
      <c r="C15" s="40" t="str">
        <f t="shared" si="0"/>
        <v/>
      </c>
      <c r="D15" s="77" t="s">
        <v>625</v>
      </c>
      <c r="E15" s="40" t="s">
        <v>79</v>
      </c>
      <c r="F15" s="41">
        <v>40.03</v>
      </c>
      <c r="G15" s="41">
        <v>0</v>
      </c>
      <c r="H15" s="41">
        <f t="shared" si="1"/>
        <v>1295.8400000000001</v>
      </c>
      <c r="I15" s="43">
        <v>3630</v>
      </c>
      <c r="J15" s="43"/>
      <c r="K15" s="43"/>
      <c r="L15" s="43"/>
      <c r="M15" s="43"/>
    </row>
    <row r="16" spans="1:18" ht="12.75" customHeight="1" x14ac:dyDescent="0.2">
      <c r="A16" s="40">
        <v>7</v>
      </c>
      <c r="B16" s="40">
        <v>2021</v>
      </c>
      <c r="C16" s="40" t="str">
        <f t="shared" si="0"/>
        <v/>
      </c>
      <c r="D16" s="77" t="s">
        <v>625</v>
      </c>
      <c r="E16" s="40" t="s">
        <v>80</v>
      </c>
      <c r="F16" s="41">
        <v>56.64</v>
      </c>
      <c r="G16" s="41">
        <v>0</v>
      </c>
      <c r="H16" s="41">
        <f t="shared" si="1"/>
        <v>1239.2</v>
      </c>
      <c r="I16" s="43">
        <v>3631</v>
      </c>
      <c r="J16" s="43"/>
      <c r="K16" s="43"/>
      <c r="L16" s="40"/>
      <c r="M16" s="43"/>
    </row>
    <row r="17" spans="1:13" ht="12.75" customHeight="1" x14ac:dyDescent="0.2">
      <c r="A17" s="40">
        <v>7</v>
      </c>
      <c r="B17" s="40">
        <v>2021</v>
      </c>
      <c r="C17" s="40" t="str">
        <f t="shared" si="0"/>
        <v/>
      </c>
      <c r="D17" s="77" t="s">
        <v>625</v>
      </c>
      <c r="E17" s="40" t="s">
        <v>81</v>
      </c>
      <c r="F17" s="41">
        <v>117.93</v>
      </c>
      <c r="G17" s="41">
        <v>0</v>
      </c>
      <c r="H17" s="41">
        <f t="shared" si="1"/>
        <v>1121.27</v>
      </c>
      <c r="I17" s="43">
        <v>3632</v>
      </c>
      <c r="J17" s="43"/>
      <c r="K17" s="43"/>
      <c r="L17" s="43"/>
      <c r="M17" s="43"/>
    </row>
    <row r="18" spans="1:13" ht="12.75" customHeight="1" x14ac:dyDescent="0.2">
      <c r="A18" s="40">
        <v>7</v>
      </c>
      <c r="B18" s="40">
        <v>2021</v>
      </c>
      <c r="C18" s="40" t="str">
        <f t="shared" si="0"/>
        <v/>
      </c>
      <c r="D18" s="77" t="s">
        <v>625</v>
      </c>
      <c r="E18" s="40" t="s">
        <v>82</v>
      </c>
      <c r="F18" s="41">
        <v>182.59</v>
      </c>
      <c r="G18" s="41">
        <v>0</v>
      </c>
      <c r="H18" s="41">
        <f t="shared" si="1"/>
        <v>938.68</v>
      </c>
      <c r="I18" s="43">
        <v>3633</v>
      </c>
      <c r="J18" s="43"/>
      <c r="K18" s="43"/>
      <c r="L18" s="40"/>
      <c r="M18" s="43"/>
    </row>
    <row r="19" spans="1:13" ht="12.75" customHeight="1" x14ac:dyDescent="0.2">
      <c r="A19" s="40">
        <v>7</v>
      </c>
      <c r="B19" s="40">
        <v>2021</v>
      </c>
      <c r="C19" s="40" t="str">
        <f t="shared" si="0"/>
        <v/>
      </c>
      <c r="D19" s="77" t="s">
        <v>625</v>
      </c>
      <c r="E19" s="40" t="s">
        <v>83</v>
      </c>
      <c r="F19" s="41">
        <v>199</v>
      </c>
      <c r="G19" s="41">
        <v>0</v>
      </c>
      <c r="H19" s="41">
        <f t="shared" si="1"/>
        <v>739.68</v>
      </c>
      <c r="I19" s="45">
        <v>3634</v>
      </c>
      <c r="J19" s="43"/>
      <c r="K19" s="43"/>
      <c r="L19" s="43"/>
      <c r="M19" s="43"/>
    </row>
    <row r="20" spans="1:13" ht="12.75" customHeight="1" x14ac:dyDescent="0.2">
      <c r="A20" s="40">
        <v>7</v>
      </c>
      <c r="B20" s="40">
        <v>2021</v>
      </c>
      <c r="C20" s="40" t="str">
        <f t="shared" si="0"/>
        <v>Income: 1</v>
      </c>
      <c r="D20" s="77" t="s">
        <v>626</v>
      </c>
      <c r="E20" s="40" t="s">
        <v>49</v>
      </c>
      <c r="F20" s="41">
        <v>739.68</v>
      </c>
      <c r="G20" s="41">
        <v>0</v>
      </c>
      <c r="H20" s="41">
        <f t="shared" si="1"/>
        <v>0</v>
      </c>
      <c r="I20" s="43">
        <v>3635</v>
      </c>
      <c r="J20" s="43"/>
      <c r="K20" s="43"/>
      <c r="L20" s="40"/>
      <c r="M20" s="43"/>
    </row>
    <row r="21" spans="1:13" ht="12.75" customHeight="1" x14ac:dyDescent="0.2">
      <c r="A21" s="40">
        <v>8</v>
      </c>
      <c r="B21" s="40">
        <v>2021</v>
      </c>
      <c r="C21" s="40" t="str">
        <f t="shared" si="0"/>
        <v>Rent: 1</v>
      </c>
      <c r="D21" s="77" t="s">
        <v>627</v>
      </c>
      <c r="E21" s="40" t="s">
        <v>181</v>
      </c>
      <c r="F21" s="41">
        <v>0</v>
      </c>
      <c r="G21" s="41">
        <v>1550</v>
      </c>
      <c r="H21" s="41">
        <f t="shared" si="1"/>
        <v>1550</v>
      </c>
      <c r="I21" s="43">
        <v>3636</v>
      </c>
      <c r="J21" s="43"/>
      <c r="K21" s="43"/>
      <c r="L21" s="43"/>
      <c r="M21" s="43"/>
    </row>
    <row r="22" spans="1:13" ht="12.75" customHeight="1" x14ac:dyDescent="0.2">
      <c r="A22" s="40">
        <v>8</v>
      </c>
      <c r="B22" s="40">
        <v>2021</v>
      </c>
      <c r="C22" s="40" t="str">
        <f t="shared" si="0"/>
        <v>Income: 1</v>
      </c>
      <c r="D22" s="77" t="s">
        <v>628</v>
      </c>
      <c r="E22" s="40" t="s">
        <v>49</v>
      </c>
      <c r="F22" s="41">
        <v>1550</v>
      </c>
      <c r="G22" s="41">
        <v>0</v>
      </c>
      <c r="H22" s="41">
        <f t="shared" si="1"/>
        <v>0</v>
      </c>
      <c r="I22" s="40">
        <v>3637</v>
      </c>
      <c r="J22" s="45"/>
      <c r="K22" s="43"/>
      <c r="L22" s="40"/>
      <c r="M22" s="43"/>
    </row>
    <row r="23" spans="1:13" ht="12.75" customHeight="1" x14ac:dyDescent="0.2">
      <c r="A23" s="40">
        <v>9</v>
      </c>
      <c r="B23" s="40">
        <v>2021</v>
      </c>
      <c r="C23" s="40" t="str">
        <f t="shared" si="0"/>
        <v>Rent: 1</v>
      </c>
      <c r="D23" s="77" t="s">
        <v>629</v>
      </c>
      <c r="E23" s="40" t="s">
        <v>184</v>
      </c>
      <c r="F23" s="41">
        <v>0</v>
      </c>
      <c r="G23" s="41">
        <v>1550</v>
      </c>
      <c r="H23" s="41">
        <f t="shared" si="1"/>
        <v>1550</v>
      </c>
      <c r="I23" s="40">
        <v>3638</v>
      </c>
      <c r="J23" s="44"/>
      <c r="K23" s="45"/>
      <c r="L23" s="43"/>
      <c r="M23" s="43"/>
    </row>
    <row r="24" spans="1:13" ht="12.75" customHeight="1" x14ac:dyDescent="0.2">
      <c r="A24" s="40">
        <v>9</v>
      </c>
      <c r="B24" s="40">
        <v>2021</v>
      </c>
      <c r="C24" s="40" t="str">
        <f t="shared" si="0"/>
        <v>Income: 1</v>
      </c>
      <c r="D24" s="77" t="s">
        <v>630</v>
      </c>
      <c r="E24" s="40" t="s">
        <v>49</v>
      </c>
      <c r="F24" s="41">
        <v>1550</v>
      </c>
      <c r="G24" s="41">
        <v>0</v>
      </c>
      <c r="H24" s="41">
        <f t="shared" si="1"/>
        <v>0</v>
      </c>
      <c r="I24" s="43">
        <v>3639</v>
      </c>
      <c r="J24" s="43"/>
      <c r="K24" s="43"/>
      <c r="L24" s="40"/>
      <c r="M24" s="43"/>
    </row>
    <row r="25" spans="1:13" ht="12.75" customHeight="1" x14ac:dyDescent="0.2">
      <c r="A25" s="40">
        <v>10</v>
      </c>
      <c r="B25" s="40">
        <v>2021</v>
      </c>
      <c r="C25" s="40" t="str">
        <f t="shared" si="0"/>
        <v>Rent: 1</v>
      </c>
      <c r="D25" s="77" t="s">
        <v>631</v>
      </c>
      <c r="E25" s="40" t="s">
        <v>187</v>
      </c>
      <c r="F25" s="41">
        <v>0</v>
      </c>
      <c r="G25" s="41">
        <v>1550</v>
      </c>
      <c r="H25" s="41">
        <f t="shared" si="1"/>
        <v>1550</v>
      </c>
      <c r="I25" s="43">
        <v>3640</v>
      </c>
      <c r="J25" s="43"/>
      <c r="K25" s="43"/>
      <c r="L25" s="43"/>
      <c r="M25" s="43"/>
    </row>
    <row r="26" spans="1:13" ht="12.75" customHeight="1" x14ac:dyDescent="0.2">
      <c r="A26" s="40">
        <v>10</v>
      </c>
      <c r="B26" s="40">
        <v>2021</v>
      </c>
      <c r="C26" s="40" t="str">
        <f t="shared" si="0"/>
        <v>Income: 1</v>
      </c>
      <c r="D26" s="77" t="s">
        <v>632</v>
      </c>
      <c r="E26" s="40" t="s">
        <v>49</v>
      </c>
      <c r="F26" s="41">
        <v>1550</v>
      </c>
      <c r="G26" s="41">
        <v>0</v>
      </c>
      <c r="H26" s="41">
        <f t="shared" si="1"/>
        <v>0</v>
      </c>
      <c r="I26" s="43">
        <v>3641</v>
      </c>
      <c r="J26" s="43"/>
      <c r="K26" s="43"/>
      <c r="L26" s="40"/>
      <c r="M26" s="43"/>
    </row>
    <row r="27" spans="1:13" ht="12.75" customHeight="1" x14ac:dyDescent="0.2">
      <c r="A27" s="40">
        <v>11</v>
      </c>
      <c r="B27" s="40">
        <v>2021</v>
      </c>
      <c r="C27" s="40" t="str">
        <f t="shared" si="0"/>
        <v>Rent: 1</v>
      </c>
      <c r="D27" s="77" t="s">
        <v>633</v>
      </c>
      <c r="E27" s="40" t="s">
        <v>190</v>
      </c>
      <c r="F27" s="41">
        <v>0</v>
      </c>
      <c r="G27" s="41">
        <v>1550</v>
      </c>
      <c r="H27" s="41">
        <f t="shared" si="1"/>
        <v>1550</v>
      </c>
      <c r="I27" s="43">
        <v>3642</v>
      </c>
      <c r="J27" s="43"/>
      <c r="K27" s="43"/>
      <c r="L27" s="43"/>
      <c r="M27" s="43"/>
    </row>
    <row r="28" spans="1:13" ht="12.75" customHeight="1" x14ac:dyDescent="0.2">
      <c r="A28" s="40">
        <v>11</v>
      </c>
      <c r="B28" s="40">
        <v>2021</v>
      </c>
      <c r="C28" s="40" t="str">
        <f t="shared" si="0"/>
        <v>Income: 1</v>
      </c>
      <c r="D28" s="77" t="s">
        <v>634</v>
      </c>
      <c r="E28" s="40" t="s">
        <v>49</v>
      </c>
      <c r="F28" s="41">
        <v>1550</v>
      </c>
      <c r="G28" s="41">
        <v>0</v>
      </c>
      <c r="H28" s="41">
        <f t="shared" si="1"/>
        <v>0</v>
      </c>
      <c r="I28" s="43">
        <v>3643</v>
      </c>
      <c r="J28" s="43"/>
      <c r="K28" s="43"/>
      <c r="L28" s="40"/>
      <c r="M28" s="43"/>
    </row>
    <row r="29" spans="1:13" ht="12.75" customHeight="1" x14ac:dyDescent="0.2">
      <c r="A29" s="40">
        <v>1</v>
      </c>
      <c r="B29" s="40">
        <v>2022</v>
      </c>
      <c r="C29" s="40" t="str">
        <f t="shared" si="0"/>
        <v/>
      </c>
      <c r="D29" s="77" t="s">
        <v>635</v>
      </c>
      <c r="E29" s="40" t="s">
        <v>84</v>
      </c>
      <c r="F29" s="41">
        <v>702.32</v>
      </c>
      <c r="G29" s="41">
        <v>0</v>
      </c>
      <c r="H29" s="41">
        <f t="shared" si="1"/>
        <v>-702.32</v>
      </c>
      <c r="I29" s="43">
        <v>3644</v>
      </c>
      <c r="J29" s="43"/>
      <c r="K29" s="43"/>
      <c r="L29" s="43"/>
      <c r="M29" s="43"/>
    </row>
    <row r="30" spans="1:13" ht="14.25" customHeight="1" x14ac:dyDescent="0.2">
      <c r="A30" s="40">
        <v>12</v>
      </c>
      <c r="B30" s="40">
        <v>2021</v>
      </c>
      <c r="C30" s="40" t="str">
        <f t="shared" si="0"/>
        <v>Rent: 1</v>
      </c>
      <c r="D30" s="77" t="s">
        <v>636</v>
      </c>
      <c r="E30" s="40" t="s">
        <v>193</v>
      </c>
      <c r="F30" s="41">
        <v>0</v>
      </c>
      <c r="G30" s="41">
        <v>1550</v>
      </c>
      <c r="H30" s="41">
        <f t="shared" si="1"/>
        <v>847.68</v>
      </c>
      <c r="I30" s="43">
        <v>3645</v>
      </c>
      <c r="J30" s="43"/>
      <c r="K30" s="43"/>
      <c r="L30" s="43"/>
      <c r="M30" s="43"/>
    </row>
    <row r="31" spans="1:13" ht="14.25" customHeight="1" x14ac:dyDescent="0.2">
      <c r="A31" s="40">
        <v>12</v>
      </c>
      <c r="B31" s="40">
        <v>2021</v>
      </c>
      <c r="C31" s="40" t="str">
        <f t="shared" si="0"/>
        <v>Income: 1</v>
      </c>
      <c r="D31" s="77" t="s">
        <v>637</v>
      </c>
      <c r="E31" s="40" t="s">
        <v>49</v>
      </c>
      <c r="F31" s="41">
        <v>1550</v>
      </c>
      <c r="G31" s="41">
        <v>0</v>
      </c>
      <c r="H31" s="41">
        <f t="shared" si="1"/>
        <v>-702.32</v>
      </c>
      <c r="I31" s="43">
        <v>3646</v>
      </c>
      <c r="J31" s="43"/>
      <c r="K31" s="43"/>
      <c r="L31" s="43"/>
      <c r="M31" s="43"/>
    </row>
    <row r="32" spans="1:13" ht="12.75" customHeight="1" x14ac:dyDescent="0.2">
      <c r="A32" s="40">
        <v>1</v>
      </c>
      <c r="B32" s="40">
        <v>2022</v>
      </c>
      <c r="C32" s="40" t="str">
        <f t="shared" si="0"/>
        <v>Rent: 1</v>
      </c>
      <c r="D32" s="77" t="s">
        <v>638</v>
      </c>
      <c r="E32" s="40" t="s">
        <v>196</v>
      </c>
      <c r="F32" s="41">
        <v>0</v>
      </c>
      <c r="G32" s="41">
        <v>1700</v>
      </c>
      <c r="H32" s="41">
        <f t="shared" si="1"/>
        <v>997.68</v>
      </c>
      <c r="I32" s="43">
        <v>3647</v>
      </c>
      <c r="J32" s="43"/>
      <c r="K32" s="43"/>
      <c r="L32" s="43"/>
      <c r="M32" s="43"/>
    </row>
    <row r="33" spans="1:13" ht="14.25" customHeight="1" x14ac:dyDescent="0.2">
      <c r="A33" s="40">
        <v>1</v>
      </c>
      <c r="B33" s="40">
        <v>2022</v>
      </c>
      <c r="C33" s="40" t="str">
        <f t="shared" si="0"/>
        <v/>
      </c>
      <c r="D33" s="77" t="s">
        <v>635</v>
      </c>
      <c r="E33" s="40" t="s">
        <v>85</v>
      </c>
      <c r="F33" s="41">
        <v>189.68</v>
      </c>
      <c r="G33" s="41">
        <v>0</v>
      </c>
      <c r="H33" s="41">
        <f t="shared" si="1"/>
        <v>808</v>
      </c>
      <c r="I33" s="43">
        <v>3648</v>
      </c>
      <c r="J33" s="43"/>
      <c r="K33" s="43"/>
      <c r="L33" s="43"/>
      <c r="M33" s="43"/>
    </row>
    <row r="34" spans="1:13" ht="12.75" customHeight="1" x14ac:dyDescent="0.2">
      <c r="A34" s="40">
        <v>1</v>
      </c>
      <c r="B34" s="40">
        <v>2022</v>
      </c>
      <c r="C34" s="40" t="str">
        <f t="shared" si="0"/>
        <v>Income: 1</v>
      </c>
      <c r="D34" s="77" t="s">
        <v>603</v>
      </c>
      <c r="E34" s="40" t="s">
        <v>49</v>
      </c>
      <c r="F34" s="41">
        <v>1308</v>
      </c>
      <c r="G34" s="41">
        <v>0</v>
      </c>
      <c r="H34" s="41">
        <f t="shared" si="1"/>
        <v>-500</v>
      </c>
      <c r="I34" s="43">
        <v>3649</v>
      </c>
      <c r="J34" s="43"/>
      <c r="K34" s="43"/>
      <c r="L34" s="43"/>
      <c r="M34" s="43"/>
    </row>
    <row r="35" spans="1:13" ht="14.25" customHeight="1" x14ac:dyDescent="0.2">
      <c r="A35" s="40">
        <v>2</v>
      </c>
      <c r="B35" s="40">
        <v>2022</v>
      </c>
      <c r="C35" s="40" t="str">
        <f t="shared" si="0"/>
        <v>Rent: 1</v>
      </c>
      <c r="D35" s="77" t="s">
        <v>639</v>
      </c>
      <c r="E35" s="40" t="s">
        <v>199</v>
      </c>
      <c r="F35" s="41">
        <v>0</v>
      </c>
      <c r="G35" s="41">
        <v>1700</v>
      </c>
      <c r="H35" s="41">
        <f t="shared" si="1"/>
        <v>1200</v>
      </c>
      <c r="I35" s="43">
        <v>3650</v>
      </c>
      <c r="J35" s="43"/>
      <c r="K35" s="43"/>
      <c r="L35" s="43"/>
      <c r="M35" s="43"/>
    </row>
    <row r="36" spans="1:13" ht="12.75" customHeight="1" x14ac:dyDescent="0.2">
      <c r="A36" s="40">
        <v>2</v>
      </c>
      <c r="B36" s="40">
        <v>2022</v>
      </c>
      <c r="C36" s="40" t="str">
        <f t="shared" si="0"/>
        <v>Income: 1</v>
      </c>
      <c r="D36" s="77" t="s">
        <v>605</v>
      </c>
      <c r="E36" s="40" t="s">
        <v>49</v>
      </c>
      <c r="F36" s="41">
        <v>1700</v>
      </c>
      <c r="G36" s="41">
        <v>0</v>
      </c>
      <c r="H36" s="41">
        <f t="shared" si="1"/>
        <v>-500</v>
      </c>
      <c r="I36" s="40">
        <v>3651</v>
      </c>
      <c r="J36" s="43"/>
      <c r="K36" s="43"/>
      <c r="L36" s="43"/>
      <c r="M36" s="43"/>
    </row>
    <row r="37" spans="1:13" ht="12.75" customHeight="1" x14ac:dyDescent="0.2">
      <c r="A37" s="40">
        <v>3</v>
      </c>
      <c r="B37" s="40">
        <v>2022</v>
      </c>
      <c r="C37" s="40" t="str">
        <f t="shared" ref="C37:C72" si="2">IFERROR("Late Fee "&amp;FIND("Late Fee",E37),IFERROR("Internet "&amp;FIND("Internet",E37),IFERROR("Utilities "&amp;FIND("Utilities",E37),IFERROR("Rent: "&amp;FIND("Rent",E37),IFERROR("Priv Tax: "&amp;FIND("Tax",E37),IFERROR("Income: "&amp;FIND("Payment",E37,1),""))))))</f>
        <v>Rent: 1</v>
      </c>
      <c r="D37" s="77" t="s">
        <v>640</v>
      </c>
      <c r="E37" s="40" t="s">
        <v>202</v>
      </c>
      <c r="F37" s="41">
        <v>0</v>
      </c>
      <c r="G37" s="41">
        <v>1700</v>
      </c>
      <c r="H37" s="41">
        <f t="shared" si="1"/>
        <v>1200</v>
      </c>
      <c r="I37" s="43">
        <v>3652</v>
      </c>
      <c r="J37" s="43"/>
      <c r="K37" s="43"/>
      <c r="L37" s="43"/>
      <c r="M37" s="43"/>
    </row>
    <row r="38" spans="1:13" ht="14.25" customHeight="1" x14ac:dyDescent="0.2">
      <c r="A38" s="40">
        <v>3</v>
      </c>
      <c r="B38" s="40">
        <v>2022</v>
      </c>
      <c r="C38" s="40" t="str">
        <f t="shared" si="2"/>
        <v>Income: 1</v>
      </c>
      <c r="D38" s="77" t="s">
        <v>641</v>
      </c>
      <c r="E38" s="40" t="s">
        <v>49</v>
      </c>
      <c r="F38" s="41">
        <v>1700</v>
      </c>
      <c r="G38" s="41">
        <v>0</v>
      </c>
      <c r="H38" s="41">
        <f t="shared" ref="H38:H69" si="3" xml:space="preserve"> H37 + G38 - F38</f>
        <v>-500</v>
      </c>
      <c r="I38" s="43">
        <v>3653</v>
      </c>
      <c r="J38" s="43"/>
      <c r="K38" s="43"/>
      <c r="L38" s="43"/>
      <c r="M38" s="43"/>
    </row>
    <row r="39" spans="1:13" ht="12.75" customHeight="1" x14ac:dyDescent="0.2">
      <c r="A39" s="40">
        <v>4</v>
      </c>
      <c r="B39" s="40">
        <v>2022</v>
      </c>
      <c r="C39" s="40" t="str">
        <f t="shared" si="2"/>
        <v>Rent: 1</v>
      </c>
      <c r="D39" s="77" t="s">
        <v>642</v>
      </c>
      <c r="E39" s="40" t="s">
        <v>205</v>
      </c>
      <c r="F39" s="41">
        <v>0</v>
      </c>
      <c r="G39" s="41">
        <v>1700</v>
      </c>
      <c r="H39" s="41">
        <f t="shared" si="3"/>
        <v>1200</v>
      </c>
      <c r="I39" s="43">
        <v>3654</v>
      </c>
      <c r="J39" s="43"/>
      <c r="K39" s="43"/>
      <c r="L39" s="43"/>
      <c r="M39" s="43"/>
    </row>
    <row r="40" spans="1:13" ht="12.75" customHeight="1" x14ac:dyDescent="0.2">
      <c r="A40" s="40">
        <v>4</v>
      </c>
      <c r="B40" s="40">
        <v>2022</v>
      </c>
      <c r="C40" s="40" t="str">
        <f t="shared" si="2"/>
        <v>Income: 1</v>
      </c>
      <c r="D40" s="77" t="s">
        <v>643</v>
      </c>
      <c r="E40" s="40" t="s">
        <v>49</v>
      </c>
      <c r="F40" s="41">
        <v>1700</v>
      </c>
      <c r="G40" s="41">
        <v>0</v>
      </c>
      <c r="H40" s="41">
        <f t="shared" si="3"/>
        <v>-500</v>
      </c>
      <c r="I40" s="43">
        <v>3655</v>
      </c>
      <c r="J40" s="43"/>
      <c r="K40" s="43"/>
      <c r="L40" s="43"/>
      <c r="M40" s="43"/>
    </row>
    <row r="41" spans="1:13" ht="12.75" customHeight="1" x14ac:dyDescent="0.2">
      <c r="A41" s="40">
        <v>5</v>
      </c>
      <c r="B41" s="40">
        <v>2022</v>
      </c>
      <c r="C41" s="40" t="str">
        <f t="shared" si="2"/>
        <v>Rent: 1</v>
      </c>
      <c r="D41" s="77" t="s">
        <v>644</v>
      </c>
      <c r="E41" s="40" t="s">
        <v>208</v>
      </c>
      <c r="F41" s="41">
        <v>0</v>
      </c>
      <c r="G41" s="41">
        <v>1700</v>
      </c>
      <c r="H41" s="41">
        <f t="shared" si="3"/>
        <v>1200</v>
      </c>
      <c r="I41" s="40">
        <v>3656</v>
      </c>
      <c r="J41" s="43"/>
      <c r="K41" s="43"/>
      <c r="L41" s="43"/>
      <c r="M41" s="43"/>
    </row>
    <row r="42" spans="1:13" ht="12.75" customHeight="1" x14ac:dyDescent="0.2">
      <c r="A42" s="40">
        <v>5</v>
      </c>
      <c r="B42" s="40">
        <v>2022</v>
      </c>
      <c r="C42" s="40" t="str">
        <f t="shared" si="2"/>
        <v>Income: 1</v>
      </c>
      <c r="D42" s="77" t="s">
        <v>645</v>
      </c>
      <c r="E42" s="40" t="s">
        <v>49</v>
      </c>
      <c r="F42" s="41">
        <v>500</v>
      </c>
      <c r="G42" s="41">
        <v>0</v>
      </c>
      <c r="H42" s="41">
        <f t="shared" si="3"/>
        <v>700</v>
      </c>
      <c r="I42" s="40">
        <v>3657</v>
      </c>
      <c r="J42" s="43"/>
      <c r="K42" s="43"/>
      <c r="L42" s="43"/>
      <c r="M42" s="43"/>
    </row>
    <row r="43" spans="1:13" ht="12.75" customHeight="1" x14ac:dyDescent="0.2">
      <c r="A43" s="40">
        <v>5</v>
      </c>
      <c r="B43" s="40">
        <v>2022</v>
      </c>
      <c r="C43" s="40" t="str">
        <f t="shared" si="2"/>
        <v>Income: 1</v>
      </c>
      <c r="D43" s="77" t="s">
        <v>646</v>
      </c>
      <c r="E43" s="40" t="s">
        <v>49</v>
      </c>
      <c r="F43" s="41">
        <v>500</v>
      </c>
      <c r="G43" s="41">
        <v>0</v>
      </c>
      <c r="H43" s="41">
        <f t="shared" si="3"/>
        <v>200</v>
      </c>
      <c r="I43" s="40">
        <v>3658</v>
      </c>
      <c r="J43" s="43"/>
      <c r="K43" s="43"/>
      <c r="L43" s="43"/>
      <c r="M43" s="43"/>
    </row>
    <row r="44" spans="1:13" ht="12.75" customHeight="1" x14ac:dyDescent="0.2">
      <c r="A44" s="40">
        <v>5</v>
      </c>
      <c r="B44" s="40">
        <v>2022</v>
      </c>
      <c r="C44" s="40" t="str">
        <f t="shared" si="2"/>
        <v>Income: 1</v>
      </c>
      <c r="D44" s="77" t="s">
        <v>647</v>
      </c>
      <c r="E44" s="40" t="s">
        <v>49</v>
      </c>
      <c r="F44" s="41">
        <v>500</v>
      </c>
      <c r="G44" s="41">
        <v>0</v>
      </c>
      <c r="H44" s="41">
        <f t="shared" si="3"/>
        <v>-300</v>
      </c>
      <c r="I44" s="40">
        <v>3659</v>
      </c>
      <c r="J44" s="43"/>
      <c r="K44" s="43"/>
      <c r="L44" s="43"/>
      <c r="M44" s="43"/>
    </row>
    <row r="45" spans="1:13" ht="12.75" customHeight="1" x14ac:dyDescent="0.2">
      <c r="A45" s="40">
        <v>6</v>
      </c>
      <c r="B45" s="40">
        <v>2022</v>
      </c>
      <c r="C45" s="40" t="str">
        <f t="shared" si="2"/>
        <v>Rent: 1</v>
      </c>
      <c r="D45" s="77" t="s">
        <v>648</v>
      </c>
      <c r="E45" s="40" t="s">
        <v>211</v>
      </c>
      <c r="F45" s="41">
        <v>0</v>
      </c>
      <c r="G45" s="41">
        <v>1700</v>
      </c>
      <c r="H45" s="41">
        <f t="shared" si="3"/>
        <v>1400</v>
      </c>
      <c r="I45" s="43">
        <v>3660</v>
      </c>
      <c r="J45" s="43"/>
      <c r="K45" s="43"/>
      <c r="L45" s="43"/>
      <c r="M45" s="43"/>
    </row>
    <row r="46" spans="1:13" ht="12.75" customHeight="1" x14ac:dyDescent="0.2">
      <c r="A46" s="40">
        <v>6</v>
      </c>
      <c r="B46" s="40">
        <v>2022</v>
      </c>
      <c r="C46" s="40" t="str">
        <f t="shared" si="2"/>
        <v>Income: 1</v>
      </c>
      <c r="D46" s="77" t="s">
        <v>212</v>
      </c>
      <c r="E46" s="40" t="s">
        <v>49</v>
      </c>
      <c r="F46" s="41">
        <v>200</v>
      </c>
      <c r="G46" s="41">
        <v>0</v>
      </c>
      <c r="H46" s="41">
        <f t="shared" si="3"/>
        <v>1200</v>
      </c>
      <c r="I46" s="40">
        <v>3661</v>
      </c>
      <c r="J46" s="43"/>
      <c r="K46" s="43"/>
      <c r="L46" s="43"/>
      <c r="M46" s="43"/>
    </row>
    <row r="47" spans="1:13" ht="12.75" customHeight="1" x14ac:dyDescent="0.2">
      <c r="A47" s="40">
        <v>6</v>
      </c>
      <c r="B47" s="40">
        <v>2022</v>
      </c>
      <c r="C47" s="40" t="str">
        <f t="shared" si="2"/>
        <v>Income: 1</v>
      </c>
      <c r="D47" s="77" t="s">
        <v>649</v>
      </c>
      <c r="E47" s="40" t="s">
        <v>49</v>
      </c>
      <c r="F47" s="41">
        <v>1700</v>
      </c>
      <c r="G47" s="41">
        <v>0</v>
      </c>
      <c r="H47" s="41">
        <f t="shared" si="3"/>
        <v>-500</v>
      </c>
      <c r="I47" s="43">
        <v>3662</v>
      </c>
      <c r="J47" s="43"/>
      <c r="K47" s="43"/>
      <c r="L47" s="43"/>
      <c r="M47" s="43"/>
    </row>
    <row r="48" spans="1:13" ht="12.75" customHeight="1" x14ac:dyDescent="0.2">
      <c r="A48" s="40">
        <v>7</v>
      </c>
      <c r="B48" s="40">
        <v>2022</v>
      </c>
      <c r="C48" s="40" t="str">
        <f t="shared" si="2"/>
        <v>Rent: 1</v>
      </c>
      <c r="D48" s="77" t="s">
        <v>650</v>
      </c>
      <c r="E48" s="40" t="s">
        <v>214</v>
      </c>
      <c r="F48" s="41">
        <v>0</v>
      </c>
      <c r="G48" s="41">
        <v>1700</v>
      </c>
      <c r="H48" s="41">
        <f t="shared" si="3"/>
        <v>1200</v>
      </c>
      <c r="I48" s="40">
        <v>3663</v>
      </c>
      <c r="J48" s="43"/>
      <c r="K48" s="43"/>
      <c r="L48" s="40"/>
      <c r="M48" s="47"/>
    </row>
    <row r="49" spans="1:13" ht="12.75" customHeight="1" x14ac:dyDescent="0.2">
      <c r="A49" s="40">
        <v>7</v>
      </c>
      <c r="B49" s="40">
        <v>2022</v>
      </c>
      <c r="C49" s="40" t="str">
        <f t="shared" si="2"/>
        <v>Income: 1</v>
      </c>
      <c r="D49" s="77" t="s">
        <v>651</v>
      </c>
      <c r="E49" s="40" t="s">
        <v>49</v>
      </c>
      <c r="F49" s="41">
        <v>1700</v>
      </c>
      <c r="G49" s="41">
        <v>0</v>
      </c>
      <c r="H49" s="41">
        <f t="shared" si="3"/>
        <v>-500</v>
      </c>
      <c r="I49" s="43">
        <v>3664</v>
      </c>
      <c r="J49" s="43"/>
      <c r="K49" s="43"/>
      <c r="L49" s="40"/>
      <c r="M49" s="47"/>
    </row>
    <row r="50" spans="1:13" ht="12.75" customHeight="1" x14ac:dyDescent="0.2">
      <c r="A50" s="40">
        <v>8</v>
      </c>
      <c r="B50" s="40">
        <v>2022</v>
      </c>
      <c r="C50" s="40" t="str">
        <f t="shared" si="2"/>
        <v>Rent: 1</v>
      </c>
      <c r="D50" s="77" t="s">
        <v>652</v>
      </c>
      <c r="E50" s="40" t="s">
        <v>217</v>
      </c>
      <c r="F50" s="41">
        <v>0</v>
      </c>
      <c r="G50" s="41">
        <v>1700</v>
      </c>
      <c r="H50" s="41">
        <f t="shared" si="3"/>
        <v>1200</v>
      </c>
      <c r="I50" s="40">
        <v>3665</v>
      </c>
      <c r="J50" s="43"/>
      <c r="K50" s="43"/>
      <c r="L50" s="40"/>
      <c r="M50" s="47"/>
    </row>
    <row r="51" spans="1:13" ht="12.75" customHeight="1" x14ac:dyDescent="0.2">
      <c r="A51" s="40">
        <v>8</v>
      </c>
      <c r="B51" s="40">
        <v>2022</v>
      </c>
      <c r="C51" s="40" t="str">
        <f t="shared" si="2"/>
        <v>Income: 1</v>
      </c>
      <c r="D51" s="77" t="s">
        <v>653</v>
      </c>
      <c r="E51" s="40" t="s">
        <v>49</v>
      </c>
      <c r="F51" s="41">
        <v>1112.5</v>
      </c>
      <c r="G51" s="41">
        <v>0</v>
      </c>
      <c r="H51" s="41">
        <f t="shared" si="3"/>
        <v>87.5</v>
      </c>
      <c r="I51" s="43">
        <v>3666</v>
      </c>
      <c r="J51" s="43"/>
      <c r="K51" s="43"/>
      <c r="L51" s="40"/>
      <c r="M51" s="47"/>
    </row>
    <row r="52" spans="1:13" ht="12.75" customHeight="1" x14ac:dyDescent="0.2">
      <c r="A52" s="40">
        <v>5</v>
      </c>
      <c r="B52" s="40">
        <v>2022</v>
      </c>
      <c r="C52" s="40" t="str">
        <f t="shared" si="2"/>
        <v/>
      </c>
      <c r="D52" s="77" t="s">
        <v>646</v>
      </c>
      <c r="E52" s="40" t="s">
        <v>99</v>
      </c>
      <c r="F52" s="41">
        <v>587.5</v>
      </c>
      <c r="G52" s="41">
        <v>0</v>
      </c>
      <c r="H52" s="41">
        <f t="shared" si="3"/>
        <v>-500</v>
      </c>
      <c r="I52" s="40">
        <v>3667</v>
      </c>
      <c r="J52" s="43"/>
      <c r="K52" s="43"/>
      <c r="L52" s="40"/>
      <c r="M52" s="47"/>
    </row>
    <row r="53" spans="1:13" ht="12.75" customHeight="1" x14ac:dyDescent="0.2">
      <c r="A53" s="40">
        <v>9</v>
      </c>
      <c r="B53" s="40">
        <v>2022</v>
      </c>
      <c r="C53" s="40" t="str">
        <f t="shared" si="2"/>
        <v>Rent: 1</v>
      </c>
      <c r="D53" s="77" t="s">
        <v>654</v>
      </c>
      <c r="E53" s="40" t="s">
        <v>220</v>
      </c>
      <c r="F53" s="41">
        <v>0</v>
      </c>
      <c r="G53" s="41">
        <v>1700</v>
      </c>
      <c r="H53" s="41">
        <f t="shared" si="3"/>
        <v>1200</v>
      </c>
      <c r="I53" s="43">
        <v>3668</v>
      </c>
      <c r="J53" s="43"/>
      <c r="K53" s="43"/>
      <c r="L53" s="40"/>
      <c r="M53" s="47"/>
    </row>
    <row r="54" spans="1:13" ht="12.75" customHeight="1" x14ac:dyDescent="0.2">
      <c r="A54" s="40">
        <v>9</v>
      </c>
      <c r="B54" s="40">
        <v>2022</v>
      </c>
      <c r="C54" s="40" t="str">
        <f t="shared" si="2"/>
        <v>Income: 1</v>
      </c>
      <c r="D54" s="77" t="s">
        <v>655</v>
      </c>
      <c r="E54" s="40" t="s">
        <v>49</v>
      </c>
      <c r="F54" s="41">
        <v>1700</v>
      </c>
      <c r="G54" s="41">
        <v>0</v>
      </c>
      <c r="H54" s="41">
        <f t="shared" si="3"/>
        <v>-500</v>
      </c>
      <c r="I54" s="40">
        <v>3669</v>
      </c>
      <c r="J54" s="43"/>
      <c r="K54" s="43"/>
      <c r="L54" s="40"/>
      <c r="M54" s="47"/>
    </row>
    <row r="55" spans="1:13" ht="12.75" customHeight="1" x14ac:dyDescent="0.2">
      <c r="A55" s="40">
        <v>10</v>
      </c>
      <c r="B55" s="40">
        <v>2022</v>
      </c>
      <c r="C55" s="40" t="str">
        <f t="shared" si="2"/>
        <v>Rent: 1</v>
      </c>
      <c r="D55" s="77" t="s">
        <v>656</v>
      </c>
      <c r="E55" s="40" t="s">
        <v>223</v>
      </c>
      <c r="F55" s="41">
        <v>0</v>
      </c>
      <c r="G55" s="41">
        <v>1700</v>
      </c>
      <c r="H55" s="41">
        <f t="shared" si="3"/>
        <v>1200</v>
      </c>
      <c r="I55" s="43">
        <v>3670</v>
      </c>
      <c r="J55" s="43"/>
      <c r="K55" s="43"/>
      <c r="L55" s="43"/>
      <c r="M55" s="47"/>
    </row>
    <row r="56" spans="1:13" ht="12.75" customHeight="1" x14ac:dyDescent="0.2">
      <c r="A56" s="40">
        <v>10</v>
      </c>
      <c r="B56" s="40">
        <v>2022</v>
      </c>
      <c r="C56" s="40" t="str">
        <f t="shared" si="2"/>
        <v>Income: 1</v>
      </c>
      <c r="D56" s="77" t="s">
        <v>657</v>
      </c>
      <c r="E56" s="40" t="s">
        <v>49</v>
      </c>
      <c r="F56" s="41">
        <v>1700</v>
      </c>
      <c r="G56" s="41">
        <v>0</v>
      </c>
      <c r="H56" s="41">
        <f t="shared" si="3"/>
        <v>-500</v>
      </c>
      <c r="I56" s="40">
        <v>3671</v>
      </c>
      <c r="J56" s="43"/>
      <c r="K56" s="43"/>
      <c r="L56" s="43"/>
      <c r="M56" s="43"/>
    </row>
    <row r="57" spans="1:13" ht="12.75" customHeight="1" x14ac:dyDescent="0.2">
      <c r="A57" s="40">
        <v>11</v>
      </c>
      <c r="B57" s="40">
        <v>2022</v>
      </c>
      <c r="C57" s="40" t="str">
        <f t="shared" si="2"/>
        <v>Rent: 1</v>
      </c>
      <c r="D57" s="77" t="s">
        <v>658</v>
      </c>
      <c r="E57" s="40" t="s">
        <v>226</v>
      </c>
      <c r="F57" s="41">
        <v>0</v>
      </c>
      <c r="G57" s="41">
        <v>1700</v>
      </c>
      <c r="H57" s="41">
        <f t="shared" si="3"/>
        <v>1200</v>
      </c>
      <c r="I57" s="43">
        <v>3672</v>
      </c>
      <c r="J57" s="43"/>
      <c r="K57" s="43"/>
      <c r="L57" s="43"/>
      <c r="M57" s="43"/>
    </row>
    <row r="58" spans="1:13" ht="12.75" customHeight="1" x14ac:dyDescent="0.2">
      <c r="A58" s="40">
        <v>11</v>
      </c>
      <c r="B58" s="40">
        <v>2022</v>
      </c>
      <c r="C58" s="40" t="str">
        <f t="shared" si="2"/>
        <v>Income: 1</v>
      </c>
      <c r="D58" s="77" t="s">
        <v>659</v>
      </c>
      <c r="E58" s="40" t="s">
        <v>49</v>
      </c>
      <c r="F58" s="41">
        <v>1700</v>
      </c>
      <c r="G58" s="41">
        <v>0</v>
      </c>
      <c r="H58" s="41">
        <f t="shared" si="3"/>
        <v>-500</v>
      </c>
      <c r="I58" s="40">
        <v>3673</v>
      </c>
      <c r="J58" s="43"/>
      <c r="K58" s="43"/>
      <c r="L58" s="43"/>
      <c r="M58" s="43"/>
    </row>
    <row r="59" spans="1:13" ht="12.75" customHeight="1" x14ac:dyDescent="0.2">
      <c r="A59" s="40">
        <v>12</v>
      </c>
      <c r="B59" s="40">
        <v>2022</v>
      </c>
      <c r="C59" s="40" t="str">
        <f t="shared" si="2"/>
        <v>Rent: 1</v>
      </c>
      <c r="D59" s="77" t="s">
        <v>660</v>
      </c>
      <c r="E59" s="40" t="s">
        <v>229</v>
      </c>
      <c r="F59" s="41">
        <v>0</v>
      </c>
      <c r="G59" s="41">
        <v>1700</v>
      </c>
      <c r="H59" s="41">
        <f t="shared" si="3"/>
        <v>1200</v>
      </c>
      <c r="I59" s="40">
        <v>3674</v>
      </c>
      <c r="J59" s="43"/>
      <c r="K59" s="43"/>
      <c r="L59" s="43"/>
      <c r="M59" s="43"/>
    </row>
    <row r="60" spans="1:13" ht="12.75" customHeight="1" x14ac:dyDescent="0.2">
      <c r="A60" s="40">
        <v>12</v>
      </c>
      <c r="B60" s="40">
        <v>2022</v>
      </c>
      <c r="C60" s="40" t="str">
        <f t="shared" si="2"/>
        <v>Income: 1</v>
      </c>
      <c r="D60" s="77" t="s">
        <v>661</v>
      </c>
      <c r="E60" s="40" t="s">
        <v>49</v>
      </c>
      <c r="F60" s="41">
        <v>1700</v>
      </c>
      <c r="G60" s="41">
        <v>0</v>
      </c>
      <c r="H60" s="41">
        <f t="shared" si="3"/>
        <v>-500</v>
      </c>
      <c r="I60" s="40">
        <v>3675</v>
      </c>
      <c r="J60" s="43"/>
      <c r="K60" s="43"/>
      <c r="L60" s="43"/>
      <c r="M60" s="43"/>
    </row>
    <row r="61" spans="1:13" ht="12.75" customHeight="1" x14ac:dyDescent="0.2">
      <c r="A61" s="40">
        <v>1</v>
      </c>
      <c r="B61" s="40">
        <v>2021</v>
      </c>
      <c r="C61" s="40" t="str">
        <f t="shared" si="2"/>
        <v/>
      </c>
      <c r="D61" s="77" t="s">
        <v>662</v>
      </c>
      <c r="E61" s="40" t="s">
        <v>72</v>
      </c>
      <c r="F61" s="41">
        <v>0</v>
      </c>
      <c r="G61" s="41">
        <v>1600</v>
      </c>
      <c r="H61" s="41">
        <f t="shared" si="3"/>
        <v>1100</v>
      </c>
      <c r="I61" s="43">
        <v>3608</v>
      </c>
      <c r="J61" s="43"/>
      <c r="K61" s="43"/>
      <c r="L61" s="43"/>
      <c r="M61" s="43"/>
    </row>
    <row r="62" spans="1:13" ht="12.75" customHeight="1" x14ac:dyDescent="0.2">
      <c r="A62" s="40">
        <v>1</v>
      </c>
      <c r="B62" s="40">
        <v>2021</v>
      </c>
      <c r="C62" s="40" t="str">
        <f t="shared" si="2"/>
        <v/>
      </c>
      <c r="D62" s="77" t="s">
        <v>662</v>
      </c>
      <c r="E62" s="40" t="s">
        <v>73</v>
      </c>
      <c r="F62" s="41">
        <v>0</v>
      </c>
      <c r="G62" s="41">
        <v>200</v>
      </c>
      <c r="H62" s="41">
        <f t="shared" si="3"/>
        <v>1300</v>
      </c>
      <c r="I62" s="45">
        <v>3609</v>
      </c>
      <c r="J62" s="43"/>
      <c r="K62" s="43"/>
      <c r="L62" s="43"/>
      <c r="M62" s="43"/>
    </row>
    <row r="63" spans="1:13" ht="12.75" customHeight="1" x14ac:dyDescent="0.2">
      <c r="A63" s="40">
        <v>1</v>
      </c>
      <c r="B63" s="40">
        <v>2021</v>
      </c>
      <c r="C63" s="40" t="str">
        <f t="shared" si="2"/>
        <v>Rent: 1</v>
      </c>
      <c r="D63" s="77" t="s">
        <v>663</v>
      </c>
      <c r="E63" s="40" t="s">
        <v>402</v>
      </c>
      <c r="F63" s="41">
        <v>0</v>
      </c>
      <c r="G63" s="41">
        <v>1600</v>
      </c>
      <c r="H63" s="41">
        <f t="shared" si="3"/>
        <v>2900</v>
      </c>
      <c r="I63" s="43">
        <v>3610</v>
      </c>
      <c r="J63" s="43"/>
      <c r="K63" s="43"/>
      <c r="L63" s="43"/>
      <c r="M63" s="43"/>
    </row>
    <row r="64" spans="1:13" ht="12.75" customHeight="1" x14ac:dyDescent="0.2">
      <c r="A64" s="40">
        <v>1</v>
      </c>
      <c r="B64" s="40">
        <v>2021</v>
      </c>
      <c r="C64" s="40" t="str">
        <f t="shared" si="2"/>
        <v>Income: 1</v>
      </c>
      <c r="D64" s="77" t="s">
        <v>662</v>
      </c>
      <c r="E64" s="40" t="s">
        <v>49</v>
      </c>
      <c r="F64" s="41">
        <v>3400</v>
      </c>
      <c r="G64" s="41">
        <v>0</v>
      </c>
      <c r="H64" s="41">
        <f t="shared" si="3"/>
        <v>-500</v>
      </c>
      <c r="I64" s="43">
        <v>3611</v>
      </c>
      <c r="J64" s="43"/>
      <c r="K64" s="43"/>
      <c r="L64" s="43"/>
      <c r="M64" s="43"/>
    </row>
    <row r="65" spans="1:13" ht="14.25" customHeight="1" x14ac:dyDescent="0.2">
      <c r="A65" s="40">
        <v>1</v>
      </c>
      <c r="B65" s="40">
        <v>2021</v>
      </c>
      <c r="C65" s="40" t="str">
        <f t="shared" si="2"/>
        <v/>
      </c>
      <c r="D65" s="77" t="s">
        <v>662</v>
      </c>
      <c r="E65" s="40" t="s">
        <v>74</v>
      </c>
      <c r="F65" s="41">
        <v>0</v>
      </c>
      <c r="G65" s="41">
        <v>500</v>
      </c>
      <c r="H65" s="41">
        <f t="shared" si="3"/>
        <v>0</v>
      </c>
      <c r="I65" s="45">
        <v>3612</v>
      </c>
      <c r="J65" s="43"/>
      <c r="K65" s="43"/>
      <c r="L65" s="43"/>
      <c r="M65" s="43"/>
    </row>
    <row r="66" spans="1:13" ht="12.75" customHeight="1" x14ac:dyDescent="0.2">
      <c r="A66" s="40">
        <v>2</v>
      </c>
      <c r="B66" s="40">
        <v>2021</v>
      </c>
      <c r="C66" s="40" t="str">
        <f t="shared" si="2"/>
        <v>Rent: 1</v>
      </c>
      <c r="D66" s="77" t="s">
        <v>664</v>
      </c>
      <c r="E66" s="40" t="s">
        <v>163</v>
      </c>
      <c r="F66" s="41">
        <v>0</v>
      </c>
      <c r="G66" s="41">
        <v>1550</v>
      </c>
      <c r="H66" s="41">
        <f t="shared" si="3"/>
        <v>1550</v>
      </c>
      <c r="I66" s="43">
        <v>3613</v>
      </c>
      <c r="J66" s="43"/>
      <c r="K66" s="43"/>
      <c r="L66" s="43"/>
      <c r="M66" s="43"/>
    </row>
    <row r="67" spans="1:13" ht="12.75" customHeight="1" x14ac:dyDescent="0.2">
      <c r="A67" s="40">
        <v>2</v>
      </c>
      <c r="B67" s="40">
        <v>2021</v>
      </c>
      <c r="C67" s="40" t="str">
        <f t="shared" si="2"/>
        <v/>
      </c>
      <c r="D67" s="77" t="s">
        <v>664</v>
      </c>
      <c r="E67" s="40" t="s">
        <v>75</v>
      </c>
      <c r="F67" s="41">
        <v>50</v>
      </c>
      <c r="G67" s="41">
        <v>0</v>
      </c>
      <c r="H67" s="41">
        <f t="shared" si="3"/>
        <v>1500</v>
      </c>
      <c r="I67" s="43">
        <v>3614</v>
      </c>
      <c r="J67" s="43"/>
      <c r="K67" s="43"/>
      <c r="L67" s="43"/>
      <c r="M67" s="43"/>
    </row>
    <row r="68" spans="1:13" ht="12.75" customHeight="1" x14ac:dyDescent="0.2">
      <c r="A68" s="40">
        <v>1</v>
      </c>
      <c r="B68" s="40">
        <v>2021</v>
      </c>
      <c r="C68" s="40" t="str">
        <f t="shared" si="2"/>
        <v>Income: 1</v>
      </c>
      <c r="D68" s="77" t="s">
        <v>662</v>
      </c>
      <c r="E68" s="40" t="s">
        <v>49</v>
      </c>
      <c r="F68" s="41">
        <v>1500</v>
      </c>
      <c r="G68" s="41">
        <v>0</v>
      </c>
      <c r="H68" s="41">
        <f t="shared" si="3"/>
        <v>0</v>
      </c>
      <c r="I68" s="43">
        <v>3615</v>
      </c>
      <c r="J68" s="43"/>
      <c r="K68" s="43"/>
      <c r="L68" s="43"/>
      <c r="M68" s="43"/>
    </row>
    <row r="69" spans="1:13" ht="12.75" customHeight="1" x14ac:dyDescent="0.2">
      <c r="A69" s="40">
        <v>2</v>
      </c>
      <c r="B69" s="40">
        <v>2021</v>
      </c>
      <c r="C69" s="40" t="str">
        <f t="shared" si="2"/>
        <v>Rent: 1</v>
      </c>
      <c r="D69" s="77" t="s">
        <v>664</v>
      </c>
      <c r="E69" s="40" t="s">
        <v>163</v>
      </c>
      <c r="F69" s="41">
        <v>0</v>
      </c>
      <c r="G69" s="41">
        <v>1550</v>
      </c>
      <c r="H69" s="41">
        <f t="shared" si="3"/>
        <v>1550</v>
      </c>
      <c r="I69" s="43">
        <v>3616</v>
      </c>
      <c r="J69" s="43"/>
      <c r="K69" s="45"/>
      <c r="L69" s="45"/>
      <c r="M69" s="43"/>
    </row>
    <row r="70" spans="1:13" ht="12.75" customHeight="1" x14ac:dyDescent="0.2">
      <c r="A70" s="40">
        <v>2</v>
      </c>
      <c r="B70" s="40">
        <v>2021</v>
      </c>
      <c r="C70" s="40" t="str">
        <f t="shared" si="2"/>
        <v>Income: 1</v>
      </c>
      <c r="D70" s="77" t="s">
        <v>665</v>
      </c>
      <c r="E70" s="40" t="s">
        <v>49</v>
      </c>
      <c r="F70" s="41">
        <v>1550</v>
      </c>
      <c r="G70" s="41">
        <v>0</v>
      </c>
      <c r="H70" s="41">
        <f t="shared" ref="H70:H72" si="4" xml:space="preserve"> H69 + G70 - F70</f>
        <v>0</v>
      </c>
      <c r="I70" s="45">
        <v>3617</v>
      </c>
      <c r="J70" s="43"/>
      <c r="K70" s="43"/>
      <c r="L70" s="43"/>
      <c r="M70" s="43"/>
    </row>
    <row r="71" spans="1:13" ht="12.75" customHeight="1" x14ac:dyDescent="0.2">
      <c r="A71" s="40">
        <v>4</v>
      </c>
      <c r="B71" s="40">
        <v>2021</v>
      </c>
      <c r="C71" s="40" t="str">
        <f t="shared" si="2"/>
        <v>Rent: 1</v>
      </c>
      <c r="D71" s="77" t="s">
        <v>618</v>
      </c>
      <c r="E71" s="40" t="s">
        <v>169</v>
      </c>
      <c r="F71" s="41">
        <v>0</v>
      </c>
      <c r="G71" s="41">
        <v>1550</v>
      </c>
      <c r="H71" s="41">
        <f t="shared" si="4"/>
        <v>1550</v>
      </c>
      <c r="I71" s="45">
        <v>3618</v>
      </c>
      <c r="J71" s="43"/>
      <c r="K71" s="43"/>
      <c r="L71" s="43"/>
      <c r="M71" s="43"/>
    </row>
    <row r="72" spans="1:13" ht="12.75" customHeight="1" x14ac:dyDescent="0.2">
      <c r="A72" s="40">
        <v>3</v>
      </c>
      <c r="B72" s="40">
        <v>2021</v>
      </c>
      <c r="C72" s="40" t="str">
        <f t="shared" si="2"/>
        <v>Income: 1</v>
      </c>
      <c r="D72" s="77" t="s">
        <v>666</v>
      </c>
      <c r="E72" s="40" t="s">
        <v>49</v>
      </c>
      <c r="F72" s="41">
        <v>1550</v>
      </c>
      <c r="G72" s="41">
        <v>0</v>
      </c>
      <c r="H72" s="41">
        <f t="shared" si="4"/>
        <v>0</v>
      </c>
      <c r="I72" s="40">
        <v>3619</v>
      </c>
      <c r="J72" s="43"/>
      <c r="K72" s="43"/>
      <c r="L72" s="43"/>
      <c r="M72" s="43"/>
    </row>
    <row r="73" spans="1:13" ht="14.25" customHeight="1" x14ac:dyDescent="0.2">
      <c r="I73" s="43"/>
      <c r="J73" s="43"/>
      <c r="K73" s="43"/>
      <c r="L73" s="43"/>
      <c r="M73" s="43"/>
    </row>
    <row r="74" spans="1:13" ht="12.75" customHeight="1" x14ac:dyDescent="0.2">
      <c r="I74" s="43"/>
      <c r="J74" s="43"/>
      <c r="K74" s="43"/>
      <c r="L74" s="43"/>
      <c r="M74" s="43"/>
    </row>
    <row r="75" spans="1:13" ht="12.75" customHeight="1" x14ac:dyDescent="0.2">
      <c r="I75" s="40"/>
      <c r="J75" s="43"/>
      <c r="K75" s="43"/>
      <c r="L75" s="43"/>
      <c r="M75" s="43"/>
    </row>
    <row r="76" spans="1:13" ht="12.75" customHeight="1" x14ac:dyDescent="0.2">
      <c r="I76" s="43"/>
      <c r="J76" s="43"/>
      <c r="K76" s="43"/>
      <c r="L76" s="43"/>
      <c r="M76" s="43"/>
    </row>
    <row r="77" spans="1:13" ht="12.75" customHeight="1" x14ac:dyDescent="0.2">
      <c r="I77" s="40"/>
      <c r="J77" s="43"/>
      <c r="K77" s="43"/>
      <c r="L77" s="43"/>
      <c r="M77" s="43"/>
    </row>
    <row r="78" spans="1:13" ht="12.75" customHeight="1" x14ac:dyDescent="0.2">
      <c r="I78" s="43"/>
      <c r="J78" s="43"/>
      <c r="K78" s="43"/>
      <c r="L78" s="43"/>
      <c r="M78" s="43"/>
    </row>
    <row r="79" spans="1:13" ht="12.75" customHeight="1" x14ac:dyDescent="0.2">
      <c r="I79" s="40"/>
      <c r="J79" s="43"/>
      <c r="K79" s="43"/>
      <c r="L79" s="43"/>
      <c r="M79" s="43"/>
    </row>
    <row r="80" spans="1:13" ht="12.75" customHeight="1" x14ac:dyDescent="0.2">
      <c r="I80" s="43"/>
      <c r="J80" s="43"/>
      <c r="K80" s="43"/>
      <c r="L80" s="43"/>
      <c r="M80" s="43"/>
    </row>
    <row r="81" spans="9:13" ht="12.75" customHeight="1" x14ac:dyDescent="0.2">
      <c r="I81" s="40"/>
      <c r="J81" s="43"/>
      <c r="K81" s="43"/>
      <c r="L81" s="43"/>
      <c r="M81" s="43"/>
    </row>
    <row r="82" spans="9:13" ht="12.75" customHeight="1" x14ac:dyDescent="0.2">
      <c r="I82" s="45"/>
      <c r="J82" s="43"/>
      <c r="K82" s="43"/>
      <c r="L82" s="43"/>
      <c r="M82" s="43"/>
    </row>
    <row r="83" spans="9:13" ht="12.75" customHeight="1" x14ac:dyDescent="0.2">
      <c r="I83" s="43"/>
      <c r="J83" s="43"/>
      <c r="K83" s="43"/>
      <c r="L83" s="43"/>
      <c r="M83" s="43"/>
    </row>
    <row r="84" spans="9:13" ht="12.75" customHeight="1" x14ac:dyDescent="0.2">
      <c r="I84" s="43"/>
      <c r="J84" s="43"/>
      <c r="K84" s="43"/>
      <c r="L84" s="43"/>
      <c r="M84" s="43"/>
    </row>
    <row r="85" spans="9:13" ht="12.75" customHeight="1" x14ac:dyDescent="0.2">
      <c r="I85" s="43"/>
      <c r="J85" s="43"/>
      <c r="K85" s="43"/>
      <c r="L85" s="43"/>
      <c r="M85" s="43"/>
    </row>
    <row r="86" spans="9:13" ht="12.75" customHeight="1" x14ac:dyDescent="0.2">
      <c r="I86" s="43"/>
      <c r="J86" s="43"/>
      <c r="K86" s="43"/>
      <c r="L86" s="43"/>
      <c r="M86" s="43"/>
    </row>
    <row r="87" spans="9:13" ht="14.25" customHeight="1" x14ac:dyDescent="0.2">
      <c r="I87" s="43"/>
      <c r="J87" s="43"/>
      <c r="K87" s="43"/>
      <c r="L87" s="43"/>
      <c r="M87" s="43"/>
    </row>
    <row r="88" spans="9:13" ht="12.75" customHeight="1" x14ac:dyDescent="0.2">
      <c r="I88" s="43"/>
      <c r="J88" s="43"/>
      <c r="K88" s="43"/>
      <c r="L88" s="43"/>
      <c r="M88" s="43"/>
    </row>
    <row r="89" spans="9:13" ht="12.75" customHeight="1" x14ac:dyDescent="0.2">
      <c r="I89" s="43"/>
      <c r="J89" s="43"/>
      <c r="K89" s="43"/>
      <c r="L89" s="43"/>
      <c r="M89" s="43"/>
    </row>
    <row r="90" spans="9:13" ht="12.75" customHeight="1" x14ac:dyDescent="0.2">
      <c r="I90" s="43"/>
      <c r="J90" s="43"/>
      <c r="K90" s="43"/>
      <c r="L90" s="43"/>
      <c r="M90" s="43"/>
    </row>
    <row r="91" spans="9:13" ht="12.75" customHeight="1" x14ac:dyDescent="0.2">
      <c r="I91" s="43"/>
      <c r="J91" s="43"/>
      <c r="K91" s="43"/>
      <c r="L91" s="43"/>
      <c r="M91" s="43"/>
    </row>
    <row r="92" spans="9:13" ht="12.75" customHeight="1" x14ac:dyDescent="0.2">
      <c r="I92" s="43"/>
      <c r="J92" s="43"/>
      <c r="K92" s="43"/>
      <c r="L92" s="43"/>
      <c r="M92" s="43"/>
    </row>
    <row r="93" spans="9:13" ht="12.75" customHeight="1" x14ac:dyDescent="0.2">
      <c r="I93" s="43"/>
      <c r="J93" s="43"/>
      <c r="K93" s="43"/>
      <c r="L93" s="43"/>
      <c r="M93" s="43"/>
    </row>
    <row r="94" spans="9:13" ht="12.75" customHeight="1" x14ac:dyDescent="0.2">
      <c r="I94" s="43"/>
      <c r="J94" s="43"/>
      <c r="K94" s="43"/>
      <c r="L94" s="43"/>
      <c r="M94" s="43"/>
    </row>
    <row r="95" spans="9:13" ht="12.75" customHeight="1" x14ac:dyDescent="0.2">
      <c r="I95" s="43"/>
      <c r="J95" s="43"/>
      <c r="K95" s="43"/>
      <c r="L95" s="43"/>
      <c r="M95" s="43"/>
    </row>
    <row r="96" spans="9:13" ht="12.75" customHeight="1" x14ac:dyDescent="0.2">
      <c r="I96" s="43"/>
      <c r="J96" s="43"/>
      <c r="K96" s="43"/>
      <c r="L96" s="43"/>
      <c r="M96" s="43"/>
    </row>
    <row r="97" spans="1:13" ht="12.75" customHeight="1" x14ac:dyDescent="0.2">
      <c r="I97" s="43"/>
      <c r="J97" s="43"/>
      <c r="K97" s="43"/>
      <c r="L97" s="43"/>
      <c r="M97" s="43"/>
    </row>
    <row r="98" spans="1:13" ht="12.75" customHeight="1" x14ac:dyDescent="0.2">
      <c r="I98" s="43"/>
      <c r="J98" s="43"/>
      <c r="K98" s="43"/>
      <c r="L98" s="43"/>
      <c r="M98" s="43"/>
    </row>
    <row r="99" spans="1:13" ht="12.75" customHeight="1" x14ac:dyDescent="0.2">
      <c r="I99" s="43"/>
      <c r="J99" s="43"/>
      <c r="K99" s="43"/>
      <c r="L99" s="43"/>
      <c r="M99" s="43"/>
    </row>
    <row r="100" spans="1:13" ht="12.75" customHeight="1" x14ac:dyDescent="0.2">
      <c r="A100" s="40"/>
      <c r="B100" s="40"/>
      <c r="C100" s="40"/>
      <c r="D100" s="77"/>
      <c r="E100" s="43"/>
      <c r="F100" s="41"/>
      <c r="G100" s="41"/>
      <c r="H100" s="41"/>
      <c r="I100" s="43"/>
      <c r="J100" s="43"/>
      <c r="K100" s="43"/>
      <c r="L100" s="43"/>
      <c r="M100" s="43"/>
    </row>
    <row r="101" spans="1:13" ht="12.75" customHeight="1" x14ac:dyDescent="0.2">
      <c r="A101" s="40"/>
      <c r="B101" s="40"/>
      <c r="C101" s="40"/>
      <c r="D101" s="77"/>
      <c r="E101" s="43"/>
      <c r="F101" s="41"/>
      <c r="G101" s="41"/>
      <c r="H101" s="41"/>
      <c r="I101" s="43"/>
      <c r="J101" s="43"/>
      <c r="K101" s="43"/>
      <c r="L101" s="43"/>
      <c r="M101" s="43"/>
    </row>
    <row r="102" spans="1:13" ht="12.75" customHeight="1" x14ac:dyDescent="0.2">
      <c r="A102" s="40"/>
      <c r="B102" s="40"/>
      <c r="C102" s="40"/>
      <c r="D102" s="77"/>
      <c r="E102" s="43"/>
      <c r="F102" s="41"/>
      <c r="G102" s="41"/>
      <c r="H102" s="41"/>
      <c r="I102" s="45"/>
    </row>
    <row r="103" spans="1:13" ht="12.75" customHeight="1" x14ac:dyDescent="0.2">
      <c r="A103" s="40"/>
      <c r="B103" s="40"/>
      <c r="C103" s="40"/>
      <c r="D103" s="77"/>
      <c r="E103" s="43"/>
      <c r="F103" s="41"/>
      <c r="G103" s="41"/>
      <c r="H103" s="41"/>
      <c r="I103" s="45"/>
    </row>
    <row r="104" spans="1:13" ht="12.75" customHeight="1" x14ac:dyDescent="0.2">
      <c r="A104" s="43"/>
      <c r="B104" s="43"/>
      <c r="C104" s="43"/>
      <c r="D104" s="77"/>
      <c r="E104" s="43"/>
      <c r="F104" s="41"/>
      <c r="G104" s="41"/>
      <c r="H104" s="41"/>
      <c r="I104" s="43"/>
    </row>
    <row r="105" spans="1:13" ht="14.25" customHeight="1" x14ac:dyDescent="0.2">
      <c r="A105" s="43"/>
      <c r="B105" s="43"/>
      <c r="C105" s="43"/>
      <c r="D105" s="77"/>
      <c r="E105" s="43"/>
      <c r="F105" s="41"/>
      <c r="G105" s="41"/>
      <c r="H105" s="41"/>
      <c r="I105" s="43"/>
    </row>
    <row r="106" spans="1:13" ht="12.75" customHeight="1" x14ac:dyDescent="0.2">
      <c r="A106" s="43"/>
      <c r="B106" s="43"/>
      <c r="C106" s="43"/>
      <c r="D106" s="77"/>
      <c r="E106" s="43"/>
      <c r="F106" s="41"/>
      <c r="G106" s="41"/>
      <c r="H106" s="41"/>
      <c r="I106" s="45"/>
    </row>
    <row r="107" spans="1:13" ht="12.75" customHeight="1" x14ac:dyDescent="0.2">
      <c r="A107" s="43"/>
      <c r="B107" s="43"/>
      <c r="C107" s="43"/>
      <c r="D107" s="77"/>
      <c r="E107" s="43"/>
      <c r="F107" s="41"/>
      <c r="G107" s="41"/>
      <c r="H107" s="41"/>
      <c r="I107" s="43"/>
    </row>
    <row r="108" spans="1:13" ht="14.25" customHeight="1" x14ac:dyDescent="0.2">
      <c r="A108" s="43"/>
      <c r="B108" s="43"/>
      <c r="C108" s="43"/>
      <c r="D108" s="77"/>
      <c r="E108" s="43"/>
      <c r="F108" s="41"/>
      <c r="G108" s="41"/>
      <c r="H108" s="41"/>
      <c r="I108" s="43"/>
    </row>
    <row r="109" spans="1:13" ht="12.75" customHeight="1" x14ac:dyDescent="0.2">
      <c r="A109" s="43"/>
      <c r="B109" s="43"/>
      <c r="C109" s="43"/>
      <c r="D109" s="77"/>
      <c r="E109" s="43"/>
      <c r="F109" s="41"/>
      <c r="G109" s="41"/>
      <c r="H109" s="41"/>
      <c r="I109" s="43"/>
    </row>
    <row r="110" spans="1:13" ht="14.25" customHeight="1" x14ac:dyDescent="0.2">
      <c r="A110" s="43"/>
      <c r="B110" s="43"/>
      <c r="C110" s="43"/>
      <c r="D110" s="77"/>
      <c r="E110" s="43"/>
      <c r="F110" s="41"/>
      <c r="G110" s="41"/>
      <c r="H110" s="41"/>
      <c r="I110" s="43"/>
    </row>
    <row r="111" spans="1:13" ht="12.75" customHeight="1" x14ac:dyDescent="0.2">
      <c r="A111" s="43"/>
      <c r="B111" s="43"/>
      <c r="C111" s="43"/>
      <c r="D111" s="77"/>
      <c r="E111" s="43"/>
      <c r="F111" s="41"/>
      <c r="G111" s="41"/>
      <c r="H111" s="41"/>
      <c r="I111" s="43"/>
    </row>
    <row r="112" spans="1:13" ht="14.25" customHeight="1" x14ac:dyDescent="0.2">
      <c r="A112" s="43"/>
      <c r="B112" s="43"/>
      <c r="C112" s="43"/>
      <c r="D112" s="77"/>
      <c r="E112" s="43"/>
      <c r="F112" s="41"/>
      <c r="G112" s="41"/>
      <c r="H112" s="41"/>
      <c r="I112" s="43"/>
    </row>
    <row r="113" spans="1:9" ht="12.75" customHeight="1" x14ac:dyDescent="0.2">
      <c r="A113" s="43"/>
      <c r="B113" s="43"/>
      <c r="C113" s="43"/>
      <c r="D113" s="77"/>
      <c r="E113" s="43"/>
      <c r="F113" s="41"/>
      <c r="G113" s="41"/>
      <c r="H113" s="41"/>
      <c r="I113" s="43"/>
    </row>
    <row r="114" spans="1:9" ht="14.25" customHeight="1" x14ac:dyDescent="0.2">
      <c r="A114" s="43"/>
      <c r="B114" s="43"/>
      <c r="C114" s="43"/>
      <c r="D114" s="77"/>
      <c r="E114" s="43"/>
      <c r="F114" s="41"/>
      <c r="G114" s="41"/>
      <c r="H114" s="41"/>
      <c r="I114" s="43"/>
    </row>
    <row r="115" spans="1:9" ht="12.75" customHeight="1" x14ac:dyDescent="0.2">
      <c r="A115" s="43"/>
      <c r="B115" s="43"/>
      <c r="C115" s="43"/>
      <c r="D115" s="77"/>
      <c r="E115" s="43"/>
      <c r="F115" s="41"/>
      <c r="G115" s="41"/>
      <c r="H115" s="41"/>
      <c r="I115" s="43"/>
    </row>
    <row r="116" spans="1:9" ht="14.25" customHeight="1" x14ac:dyDescent="0.2">
      <c r="A116" s="43"/>
      <c r="B116" s="43"/>
      <c r="C116" s="43"/>
      <c r="D116" s="77"/>
      <c r="E116" s="43"/>
      <c r="F116" s="41"/>
      <c r="G116" s="41"/>
      <c r="H116" s="41"/>
      <c r="I116" s="43"/>
    </row>
    <row r="117" spans="1:9" ht="14.25" customHeight="1" x14ac:dyDescent="0.2">
      <c r="A117" s="43"/>
      <c r="B117" s="43"/>
      <c r="C117" s="43"/>
      <c r="D117" s="70"/>
      <c r="E117" s="43"/>
      <c r="F117" s="41"/>
      <c r="G117" s="41"/>
      <c r="H117" s="41"/>
      <c r="I117" s="43"/>
    </row>
    <row r="118" spans="1:9" ht="14.25" customHeight="1" x14ac:dyDescent="0.2">
      <c r="A118" s="43"/>
      <c r="B118" s="43"/>
      <c r="C118" s="43"/>
      <c r="D118" s="70"/>
      <c r="E118" s="43"/>
      <c r="F118" s="41"/>
      <c r="G118" s="41"/>
      <c r="H118" s="41"/>
      <c r="I118" s="43"/>
    </row>
    <row r="119" spans="1:9" ht="12.75" customHeight="1" x14ac:dyDescent="0.2">
      <c r="A119" s="43"/>
      <c r="B119" s="43"/>
      <c r="C119" s="43"/>
      <c r="D119" s="70"/>
      <c r="E119" s="43"/>
      <c r="F119" s="41"/>
      <c r="G119" s="41"/>
      <c r="H119" s="41"/>
      <c r="I119" s="43"/>
    </row>
    <row r="120" spans="1:9" ht="14.25" customHeight="1" x14ac:dyDescent="0.2">
      <c r="A120" s="43"/>
      <c r="B120" s="43"/>
      <c r="C120" s="43"/>
      <c r="D120" s="70"/>
      <c r="E120" s="43"/>
      <c r="F120" s="41"/>
      <c r="G120" s="41"/>
      <c r="H120" s="41"/>
      <c r="I120" s="43"/>
    </row>
    <row r="121" spans="1:9" ht="14.25" customHeight="1" x14ac:dyDescent="0.2">
      <c r="A121" s="43"/>
      <c r="B121" s="43"/>
      <c r="C121" s="43"/>
      <c r="D121" s="70"/>
      <c r="E121" s="43"/>
      <c r="F121" s="41"/>
      <c r="G121" s="41"/>
      <c r="H121" s="41"/>
      <c r="I121" s="43"/>
    </row>
    <row r="122" spans="1:9" ht="12.75" customHeight="1" x14ac:dyDescent="0.2">
      <c r="A122" s="43"/>
      <c r="B122" s="43"/>
      <c r="C122" s="43"/>
      <c r="D122" s="70"/>
      <c r="E122" s="43"/>
      <c r="F122" s="41"/>
      <c r="G122" s="41"/>
      <c r="H122" s="41"/>
      <c r="I122" s="43"/>
    </row>
    <row r="123" spans="1:9" ht="14.25" customHeight="1" x14ac:dyDescent="0.2">
      <c r="A123" s="43"/>
      <c r="B123" s="43"/>
      <c r="C123" s="43"/>
      <c r="D123" s="70"/>
      <c r="E123" s="43"/>
      <c r="F123" s="41"/>
      <c r="G123" s="41"/>
      <c r="H123" s="41"/>
      <c r="I123" s="43"/>
    </row>
    <row r="124" spans="1:9" ht="12.75" customHeight="1" x14ac:dyDescent="0.2">
      <c r="A124" s="43"/>
      <c r="B124" s="43"/>
      <c r="C124" s="43"/>
      <c r="D124" s="70"/>
      <c r="E124" s="43"/>
      <c r="F124" s="41"/>
      <c r="G124" s="41"/>
      <c r="H124" s="41"/>
      <c r="I124" s="43"/>
    </row>
    <row r="125" spans="1:9" ht="14.25" customHeight="1" x14ac:dyDescent="0.2">
      <c r="A125" s="43"/>
      <c r="B125" s="43"/>
      <c r="C125" s="43"/>
      <c r="D125" s="70"/>
      <c r="E125" s="43"/>
      <c r="F125" s="41"/>
      <c r="G125" s="41"/>
      <c r="H125" s="41"/>
      <c r="I125" s="43"/>
    </row>
    <row r="126" spans="1:9" ht="14.25" customHeight="1" x14ac:dyDescent="0.2">
      <c r="A126" s="43"/>
      <c r="B126" s="43"/>
      <c r="C126" s="43"/>
      <c r="D126" s="70"/>
      <c r="E126" s="43"/>
      <c r="F126" s="41"/>
      <c r="G126" s="41"/>
      <c r="H126" s="41"/>
      <c r="I126" s="43"/>
    </row>
    <row r="127" spans="1:9" ht="12.75" customHeight="1" x14ac:dyDescent="0.2">
      <c r="A127" s="43"/>
      <c r="B127" s="43"/>
      <c r="C127" s="43"/>
      <c r="D127" s="70"/>
      <c r="E127" s="43"/>
      <c r="F127" s="41"/>
      <c r="G127" s="41"/>
      <c r="H127" s="41"/>
      <c r="I127" s="43"/>
    </row>
    <row r="128" spans="1:9" ht="14.25" customHeight="1" x14ac:dyDescent="0.2">
      <c r="A128" s="43"/>
      <c r="B128" s="43"/>
      <c r="C128" s="43"/>
      <c r="D128" s="70"/>
      <c r="E128" s="43"/>
      <c r="F128" s="41"/>
      <c r="G128" s="41"/>
      <c r="H128" s="41"/>
      <c r="I128" s="43"/>
    </row>
    <row r="129" spans="1:9" ht="12.75" customHeight="1" x14ac:dyDescent="0.2">
      <c r="A129" s="43"/>
      <c r="B129" s="43"/>
      <c r="C129" s="43"/>
      <c r="D129" s="70"/>
      <c r="E129" s="43"/>
      <c r="F129" s="41"/>
      <c r="G129" s="41"/>
      <c r="H129" s="41"/>
      <c r="I129" s="43"/>
    </row>
    <row r="130" spans="1:9" ht="14.25" customHeight="1" x14ac:dyDescent="0.2">
      <c r="A130" s="43"/>
      <c r="B130" s="43"/>
      <c r="C130" s="43"/>
      <c r="D130" s="70"/>
      <c r="E130" s="43"/>
      <c r="F130" s="41"/>
      <c r="G130" s="41"/>
      <c r="H130" s="41"/>
      <c r="I130" s="43"/>
    </row>
    <row r="131" spans="1:9" ht="12.75" customHeight="1" x14ac:dyDescent="0.2">
      <c r="A131" s="43"/>
      <c r="B131" s="43"/>
      <c r="C131" s="43"/>
      <c r="D131" s="70"/>
      <c r="E131" s="43"/>
      <c r="F131" s="41"/>
      <c r="G131" s="41"/>
      <c r="H131" s="41"/>
      <c r="I131" s="43"/>
    </row>
    <row r="132" spans="1:9" ht="14.25" customHeight="1" x14ac:dyDescent="0.2">
      <c r="A132" s="43"/>
      <c r="B132" s="43"/>
      <c r="C132" s="43"/>
      <c r="D132" s="70"/>
      <c r="E132" s="43"/>
      <c r="F132" s="41"/>
      <c r="G132" s="41"/>
      <c r="H132" s="41"/>
      <c r="I132" s="43"/>
    </row>
    <row r="133" spans="1:9" ht="14.25" customHeight="1" x14ac:dyDescent="0.2">
      <c r="A133" s="43"/>
      <c r="B133" s="43"/>
      <c r="C133" s="43"/>
      <c r="D133" s="70"/>
      <c r="E133" s="43"/>
      <c r="F133" s="41"/>
      <c r="G133" s="41"/>
      <c r="H133" s="41"/>
      <c r="I133" s="43"/>
    </row>
    <row r="134" spans="1:9" ht="12.75" customHeight="1" x14ac:dyDescent="0.2">
      <c r="A134" s="43"/>
      <c r="B134" s="43"/>
      <c r="C134" s="43"/>
      <c r="D134" s="70"/>
      <c r="E134" s="43"/>
      <c r="F134" s="41"/>
      <c r="G134" s="41"/>
      <c r="H134" s="41"/>
      <c r="I134" s="43"/>
    </row>
    <row r="135" spans="1:9" ht="14.25" customHeight="1" x14ac:dyDescent="0.2">
      <c r="A135" s="43"/>
      <c r="B135" s="43"/>
      <c r="C135" s="43"/>
      <c r="D135" s="70"/>
      <c r="E135" s="43"/>
      <c r="F135" s="41"/>
      <c r="G135" s="41"/>
      <c r="H135" s="41"/>
      <c r="I135" s="40"/>
    </row>
    <row r="136" spans="1:9" ht="12.75" customHeight="1" x14ac:dyDescent="0.2">
      <c r="A136" s="43"/>
      <c r="B136" s="43"/>
      <c r="C136" s="43"/>
      <c r="D136" s="70"/>
      <c r="E136" s="43"/>
      <c r="F136" s="41"/>
      <c r="G136" s="41"/>
      <c r="H136" s="41"/>
      <c r="I136" s="43"/>
    </row>
    <row r="137" spans="1:9" ht="14.25" customHeight="1" x14ac:dyDescent="0.2">
      <c r="A137" s="43"/>
      <c r="B137" s="43"/>
      <c r="C137" s="43"/>
      <c r="D137" s="70"/>
      <c r="E137" s="43"/>
      <c r="F137" s="41"/>
      <c r="G137" s="41"/>
      <c r="H137" s="41"/>
      <c r="I137" s="40"/>
    </row>
    <row r="138" spans="1:9" ht="12.75" customHeight="1" x14ac:dyDescent="0.2">
      <c r="A138" s="43"/>
      <c r="B138" s="43"/>
      <c r="C138" s="43"/>
      <c r="D138" s="70"/>
      <c r="E138" s="43"/>
      <c r="F138" s="41"/>
      <c r="G138" s="41"/>
      <c r="H138" s="41"/>
      <c r="I138" s="43"/>
    </row>
    <row r="139" spans="1:9" ht="12.75" customHeight="1" x14ac:dyDescent="0.2">
      <c r="A139" s="43"/>
      <c r="B139" s="43"/>
      <c r="C139" s="43"/>
      <c r="D139" s="70"/>
      <c r="E139" s="43"/>
      <c r="F139" s="41"/>
      <c r="G139" s="41"/>
      <c r="H139" s="41"/>
      <c r="I139" s="43"/>
    </row>
    <row r="140" spans="1:9" ht="12.75" customHeight="1" x14ac:dyDescent="0.2">
      <c r="A140" s="43"/>
      <c r="B140" s="43"/>
      <c r="C140" s="43"/>
      <c r="D140" s="70"/>
      <c r="E140" s="43"/>
      <c r="F140" s="41"/>
      <c r="G140" s="41"/>
      <c r="H140" s="41"/>
      <c r="I140" s="43"/>
    </row>
    <row r="141" spans="1:9" ht="12.75" customHeight="1" x14ac:dyDescent="0.2">
      <c r="A141" s="43"/>
      <c r="B141" s="43"/>
      <c r="C141" s="43"/>
      <c r="D141" s="70"/>
      <c r="E141" s="43"/>
      <c r="F141" s="41"/>
      <c r="G141" s="41"/>
      <c r="H141" s="41"/>
      <c r="I141" s="43"/>
    </row>
    <row r="142" spans="1:9" ht="12.75" customHeight="1" x14ac:dyDescent="0.2">
      <c r="A142" s="43"/>
      <c r="B142" s="43"/>
      <c r="C142" s="43"/>
      <c r="D142" s="70"/>
      <c r="E142" s="43"/>
      <c r="F142" s="41"/>
      <c r="G142" s="41"/>
      <c r="H142" s="41"/>
      <c r="I142" s="43"/>
    </row>
    <row r="143" spans="1:9" ht="12.75" customHeight="1" x14ac:dyDescent="0.2">
      <c r="A143" s="43"/>
      <c r="B143" s="43"/>
      <c r="C143" s="43"/>
      <c r="D143" s="70"/>
      <c r="E143" s="43"/>
      <c r="F143" s="41"/>
      <c r="G143" s="41"/>
      <c r="H143" s="41"/>
      <c r="I143" s="43"/>
    </row>
    <row r="144" spans="1:9" ht="12.75" customHeight="1" x14ac:dyDescent="0.2">
      <c r="A144" s="43"/>
      <c r="B144" s="43"/>
      <c r="C144" s="43"/>
      <c r="D144" s="70"/>
      <c r="E144" s="43"/>
      <c r="F144" s="41"/>
      <c r="G144" s="41"/>
      <c r="H144" s="41"/>
      <c r="I144" s="43"/>
    </row>
    <row r="145" spans="1:9" ht="12.75" customHeight="1" x14ac:dyDescent="0.2">
      <c r="A145" s="43"/>
      <c r="B145" s="43"/>
      <c r="C145" s="43"/>
      <c r="D145" s="70"/>
      <c r="E145" s="43"/>
      <c r="F145" s="41"/>
      <c r="G145" s="41"/>
      <c r="H145" s="41"/>
      <c r="I145" s="43"/>
    </row>
    <row r="146" spans="1:9" ht="12.75" customHeight="1" x14ac:dyDescent="0.2">
      <c r="A146" s="43"/>
      <c r="B146" s="43"/>
      <c r="C146" s="43"/>
      <c r="D146" s="70"/>
      <c r="E146" s="43"/>
      <c r="F146" s="41"/>
      <c r="G146" s="41"/>
      <c r="H146" s="41"/>
      <c r="I146" s="43"/>
    </row>
    <row r="147" spans="1:9" ht="12.75" customHeight="1" x14ac:dyDescent="0.2">
      <c r="A147" s="43"/>
      <c r="B147" s="43"/>
      <c r="C147" s="43"/>
      <c r="D147" s="70"/>
      <c r="E147" s="43"/>
      <c r="F147" s="41"/>
      <c r="G147" s="41"/>
      <c r="H147" s="41"/>
      <c r="I147" s="43"/>
    </row>
    <row r="148" spans="1:9" ht="12.75" customHeight="1" x14ac:dyDescent="0.2">
      <c r="A148" s="43"/>
      <c r="B148" s="43"/>
      <c r="C148" s="43"/>
      <c r="D148" s="70"/>
      <c r="E148" s="43"/>
      <c r="F148" s="41"/>
      <c r="G148" s="41"/>
      <c r="H148" s="41"/>
      <c r="I148" s="43"/>
    </row>
    <row r="149" spans="1:9" ht="12.75" customHeight="1" x14ac:dyDescent="0.2">
      <c r="A149" s="43"/>
      <c r="B149" s="43"/>
      <c r="C149" s="43"/>
      <c r="D149" s="70"/>
      <c r="E149" s="43"/>
      <c r="F149" s="41"/>
      <c r="G149" s="41"/>
      <c r="H149" s="41"/>
      <c r="I149" s="43"/>
    </row>
    <row r="150" spans="1:9" ht="12.75" customHeight="1" x14ac:dyDescent="0.2">
      <c r="A150" s="43"/>
      <c r="B150" s="43"/>
      <c r="C150" s="43"/>
      <c r="D150" s="70"/>
      <c r="E150" s="43"/>
      <c r="F150" s="41"/>
      <c r="G150" s="41"/>
      <c r="H150" s="41"/>
      <c r="I150" s="43"/>
    </row>
    <row r="151" spans="1:9" ht="12.75" customHeight="1" x14ac:dyDescent="0.2">
      <c r="A151" s="43"/>
      <c r="B151" s="43"/>
      <c r="C151" s="43"/>
      <c r="D151" s="70"/>
      <c r="E151" s="43"/>
      <c r="F151" s="41"/>
      <c r="G151" s="41"/>
      <c r="H151" s="41"/>
      <c r="I151" s="43"/>
    </row>
    <row r="152" spans="1:9" ht="12.75" customHeight="1" x14ac:dyDescent="0.2">
      <c r="A152" s="43"/>
      <c r="B152" s="43"/>
      <c r="C152" s="43"/>
      <c r="D152" s="70"/>
      <c r="E152" s="43"/>
      <c r="F152" s="41"/>
      <c r="G152" s="41"/>
      <c r="H152" s="41"/>
      <c r="I152" s="43"/>
    </row>
    <row r="153" spans="1:9" ht="12.75" customHeight="1" x14ac:dyDescent="0.2">
      <c r="A153" s="43"/>
      <c r="B153" s="43"/>
      <c r="C153" s="43"/>
      <c r="D153" s="70"/>
      <c r="E153" s="43"/>
      <c r="F153" s="41"/>
      <c r="G153" s="41"/>
      <c r="H153" s="41"/>
      <c r="I153" s="43"/>
    </row>
    <row r="154" spans="1:9" ht="12.75" customHeight="1" x14ac:dyDescent="0.2">
      <c r="A154" s="43"/>
      <c r="B154" s="43"/>
      <c r="C154" s="43"/>
      <c r="D154" s="70"/>
      <c r="E154" s="43"/>
      <c r="F154" s="41"/>
      <c r="G154" s="41"/>
      <c r="H154" s="41"/>
      <c r="I154" s="43"/>
    </row>
    <row r="155" spans="1:9" ht="12.75" customHeight="1" x14ac:dyDescent="0.2">
      <c r="A155" s="43"/>
      <c r="B155" s="43"/>
      <c r="C155" s="43"/>
      <c r="D155" s="70"/>
      <c r="E155" s="43"/>
      <c r="F155" s="41"/>
      <c r="G155" s="41"/>
      <c r="H155" s="41"/>
      <c r="I155" s="43"/>
    </row>
    <row r="156" spans="1:9" ht="12.75" customHeight="1" x14ac:dyDescent="0.2">
      <c r="A156" s="43"/>
      <c r="B156" s="43"/>
      <c r="C156" s="43"/>
      <c r="D156" s="70"/>
      <c r="E156" s="43"/>
      <c r="F156" s="41"/>
      <c r="G156" s="41"/>
      <c r="H156" s="41"/>
      <c r="I156" s="43"/>
    </row>
    <row r="157" spans="1:9" ht="12.75" customHeight="1" x14ac:dyDescent="0.2">
      <c r="A157" s="43"/>
      <c r="B157" s="43"/>
      <c r="C157" s="43"/>
      <c r="D157" s="70"/>
      <c r="E157" s="43"/>
      <c r="F157" s="41"/>
      <c r="G157" s="41"/>
      <c r="H157" s="41"/>
      <c r="I157" s="43"/>
    </row>
    <row r="158" spans="1:9" ht="12.75" customHeight="1" x14ac:dyDescent="0.2">
      <c r="A158" s="43"/>
      <c r="B158" s="43"/>
      <c r="C158" s="43"/>
      <c r="D158" s="70"/>
      <c r="E158" s="43"/>
      <c r="F158" s="41"/>
      <c r="G158" s="41"/>
      <c r="H158" s="41"/>
      <c r="I158" s="43"/>
    </row>
    <row r="159" spans="1:9" ht="12.75" customHeight="1" x14ac:dyDescent="0.2">
      <c r="A159" s="43"/>
      <c r="B159" s="43"/>
      <c r="C159" s="43"/>
      <c r="D159" s="70"/>
      <c r="E159" s="43"/>
      <c r="F159" s="41"/>
      <c r="G159" s="41"/>
      <c r="H159" s="41"/>
      <c r="I159" s="43"/>
    </row>
    <row r="160" spans="1:9" ht="12.75" customHeight="1" x14ac:dyDescent="0.2">
      <c r="A160" s="43"/>
      <c r="B160" s="43"/>
      <c r="C160" s="43"/>
      <c r="D160" s="70"/>
      <c r="E160" s="43"/>
      <c r="F160" s="41"/>
      <c r="G160" s="41"/>
      <c r="H160" s="41"/>
      <c r="I160" s="43"/>
    </row>
    <row r="161" spans="1:9" ht="12.75" customHeight="1" x14ac:dyDescent="0.2">
      <c r="A161" s="43"/>
      <c r="B161" s="43"/>
      <c r="C161" s="43"/>
      <c r="D161" s="70"/>
      <c r="E161" s="43"/>
      <c r="F161" s="41"/>
      <c r="G161" s="41"/>
      <c r="H161" s="41"/>
      <c r="I161" s="43"/>
    </row>
    <row r="162" spans="1:9" ht="12.75" customHeight="1" x14ac:dyDescent="0.2">
      <c r="A162" s="43"/>
      <c r="B162" s="43"/>
      <c r="C162" s="43"/>
      <c r="D162" s="70"/>
      <c r="E162" s="43"/>
      <c r="F162" s="41"/>
      <c r="G162" s="41"/>
      <c r="H162" s="41"/>
      <c r="I162" s="43"/>
    </row>
    <row r="163" spans="1:9" ht="12.75" customHeight="1" x14ac:dyDescent="0.2">
      <c r="A163" s="43"/>
      <c r="B163" s="43"/>
      <c r="C163" s="43"/>
      <c r="D163" s="70"/>
      <c r="E163" s="43"/>
      <c r="F163" s="41"/>
      <c r="G163" s="41"/>
      <c r="H163" s="41"/>
      <c r="I163" s="43"/>
    </row>
    <row r="164" spans="1:9" ht="12.75" customHeight="1" x14ac:dyDescent="0.2">
      <c r="A164" s="43"/>
      <c r="B164" s="43"/>
      <c r="C164" s="43"/>
      <c r="D164" s="70"/>
      <c r="E164" s="43"/>
      <c r="F164" s="41"/>
      <c r="G164" s="41"/>
      <c r="H164" s="41"/>
      <c r="I164" s="43"/>
    </row>
    <row r="165" spans="1:9" ht="12.75" customHeight="1" x14ac:dyDescent="0.2">
      <c r="A165" s="43"/>
      <c r="B165" s="43"/>
      <c r="C165" s="43"/>
      <c r="D165" s="70"/>
      <c r="E165" s="43"/>
      <c r="F165" s="41"/>
      <c r="G165" s="41"/>
      <c r="H165" s="41"/>
      <c r="I165" s="43"/>
    </row>
    <row r="166" spans="1:9" ht="12.75" customHeight="1" x14ac:dyDescent="0.2">
      <c r="A166" s="43"/>
      <c r="B166" s="43"/>
      <c r="C166" s="43"/>
      <c r="D166" s="70"/>
      <c r="E166" s="43"/>
      <c r="F166" s="41"/>
      <c r="G166" s="41"/>
      <c r="H166" s="41"/>
      <c r="I166" s="43"/>
    </row>
    <row r="167" spans="1:9" ht="12.75" customHeight="1" x14ac:dyDescent="0.2">
      <c r="A167" s="43"/>
      <c r="B167" s="43"/>
      <c r="C167" s="43"/>
      <c r="D167" s="70"/>
      <c r="E167" s="43"/>
      <c r="F167" s="41"/>
      <c r="G167" s="41"/>
      <c r="H167" s="41"/>
      <c r="I167" s="43"/>
    </row>
    <row r="168" spans="1:9" ht="12.75" customHeight="1" x14ac:dyDescent="0.2">
      <c r="A168" s="43"/>
      <c r="B168" s="43"/>
      <c r="C168" s="43"/>
      <c r="D168" s="70"/>
      <c r="E168" s="43"/>
      <c r="F168" s="41"/>
      <c r="G168" s="41"/>
      <c r="H168" s="41"/>
      <c r="I168" s="43"/>
    </row>
    <row r="169" spans="1:9" ht="12.75" customHeight="1" x14ac:dyDescent="0.2">
      <c r="A169" s="43"/>
      <c r="B169" s="43"/>
      <c r="C169" s="43"/>
      <c r="D169" s="70"/>
      <c r="E169" s="43"/>
      <c r="F169" s="41"/>
      <c r="G169" s="41"/>
      <c r="H169" s="41"/>
      <c r="I169" s="43"/>
    </row>
    <row r="170" spans="1:9" ht="12.75" customHeight="1" x14ac:dyDescent="0.2">
      <c r="A170" s="43"/>
      <c r="B170" s="43"/>
      <c r="C170" s="43"/>
      <c r="D170" s="70"/>
      <c r="E170" s="43"/>
      <c r="F170" s="41"/>
      <c r="G170" s="41"/>
      <c r="H170" s="41"/>
      <c r="I170" s="43"/>
    </row>
    <row r="171" spans="1:9" ht="12.75" customHeight="1" x14ac:dyDescent="0.2">
      <c r="A171" s="43"/>
      <c r="B171" s="43"/>
      <c r="C171" s="43"/>
      <c r="D171" s="70"/>
      <c r="E171" s="43"/>
      <c r="F171" s="41"/>
      <c r="G171" s="41"/>
      <c r="H171" s="41"/>
      <c r="I171" s="43"/>
    </row>
    <row r="172" spans="1:9" ht="12.75" customHeight="1" x14ac:dyDescent="0.2">
      <c r="A172" s="43"/>
      <c r="B172" s="43"/>
      <c r="C172" s="43"/>
      <c r="D172" s="70"/>
      <c r="E172" s="43"/>
      <c r="F172" s="41"/>
      <c r="G172" s="41"/>
      <c r="H172" s="41"/>
      <c r="I172" s="43"/>
    </row>
    <row r="173" spans="1:9" ht="12.75" customHeight="1" x14ac:dyDescent="0.2">
      <c r="A173" s="43"/>
      <c r="B173" s="43"/>
      <c r="C173" s="43"/>
      <c r="D173" s="70"/>
      <c r="E173" s="43"/>
      <c r="F173" s="41"/>
      <c r="G173" s="41"/>
      <c r="H173" s="41"/>
      <c r="I173" s="43"/>
    </row>
    <row r="174" spans="1:9" ht="12.75" customHeight="1" x14ac:dyDescent="0.2">
      <c r="A174" s="43"/>
      <c r="B174" s="43"/>
      <c r="C174" s="43"/>
      <c r="D174" s="70"/>
      <c r="E174" s="43"/>
      <c r="F174" s="41"/>
      <c r="G174" s="41"/>
      <c r="H174" s="41"/>
      <c r="I174" s="43"/>
    </row>
    <row r="175" spans="1:9" ht="12.75" customHeight="1" x14ac:dyDescent="0.2">
      <c r="A175" s="43"/>
      <c r="B175" s="43"/>
      <c r="C175" s="43"/>
      <c r="D175" s="70"/>
      <c r="E175" s="43"/>
      <c r="F175" s="41"/>
      <c r="G175" s="41"/>
      <c r="H175" s="41"/>
      <c r="I175" s="43"/>
    </row>
    <row r="176" spans="1:9" ht="12.75" customHeight="1" x14ac:dyDescent="0.2">
      <c r="A176" s="43"/>
      <c r="B176" s="43"/>
      <c r="C176" s="43"/>
      <c r="D176" s="70"/>
      <c r="E176" s="43"/>
      <c r="F176" s="41"/>
      <c r="G176" s="41"/>
      <c r="H176" s="41"/>
      <c r="I176" s="43"/>
    </row>
    <row r="177" spans="1:9" ht="12.75" customHeight="1" x14ac:dyDescent="0.2">
      <c r="A177" s="43"/>
      <c r="B177" s="43"/>
      <c r="C177" s="43"/>
      <c r="D177" s="70"/>
      <c r="E177" s="43"/>
      <c r="F177" s="41"/>
      <c r="G177" s="41"/>
      <c r="H177" s="41"/>
      <c r="I177" s="43"/>
    </row>
    <row r="178" spans="1:9" ht="12.75" customHeight="1" x14ac:dyDescent="0.2">
      <c r="A178" s="43"/>
      <c r="B178" s="43"/>
      <c r="C178" s="43"/>
      <c r="D178" s="70"/>
      <c r="E178" s="43"/>
      <c r="F178" s="41"/>
      <c r="G178" s="41"/>
      <c r="H178" s="41"/>
      <c r="I178" s="43"/>
    </row>
    <row r="179" spans="1:9" ht="12.75" customHeight="1" x14ac:dyDescent="0.2">
      <c r="A179" s="43"/>
      <c r="B179" s="43"/>
      <c r="C179" s="43"/>
      <c r="D179" s="70"/>
      <c r="E179" s="43"/>
      <c r="F179" s="41"/>
      <c r="G179" s="41"/>
      <c r="H179" s="41"/>
      <c r="I179" s="43"/>
    </row>
    <row r="180" spans="1:9" ht="12.75" customHeight="1" x14ac:dyDescent="0.2">
      <c r="A180" s="43"/>
      <c r="B180" s="43"/>
      <c r="C180" s="43"/>
      <c r="D180" s="70"/>
      <c r="E180" s="43"/>
      <c r="F180" s="41"/>
      <c r="G180" s="41"/>
      <c r="H180" s="41"/>
      <c r="I180" s="43"/>
    </row>
    <row r="181" spans="1:9" ht="12.75" customHeight="1" x14ac:dyDescent="0.2">
      <c r="A181" s="43"/>
      <c r="B181" s="43"/>
      <c r="C181" s="43"/>
      <c r="D181" s="70"/>
      <c r="E181" s="43"/>
      <c r="F181" s="41"/>
      <c r="G181" s="41"/>
      <c r="H181" s="41"/>
      <c r="I181" s="43"/>
    </row>
    <row r="182" spans="1:9" ht="12.75" customHeight="1" x14ac:dyDescent="0.2">
      <c r="A182" s="43"/>
      <c r="B182" s="43"/>
      <c r="C182" s="43"/>
      <c r="D182" s="70"/>
      <c r="E182" s="43"/>
      <c r="F182" s="41"/>
      <c r="G182" s="41"/>
      <c r="H182" s="41"/>
      <c r="I182" s="43"/>
    </row>
    <row r="183" spans="1:9" ht="12.75" customHeight="1" x14ac:dyDescent="0.2">
      <c r="A183" s="43"/>
      <c r="B183" s="43"/>
      <c r="C183" s="43"/>
      <c r="D183" s="70"/>
      <c r="E183" s="43"/>
      <c r="F183" s="41"/>
      <c r="G183" s="41"/>
      <c r="H183" s="41"/>
      <c r="I183" s="43"/>
    </row>
    <row r="184" spans="1:9" ht="12.75" customHeight="1" x14ac:dyDescent="0.2">
      <c r="A184" s="43"/>
      <c r="B184" s="43"/>
      <c r="C184" s="43"/>
      <c r="D184" s="70"/>
      <c r="E184" s="43"/>
      <c r="F184" s="41"/>
      <c r="G184" s="41"/>
      <c r="H184" s="41"/>
      <c r="I184" s="43"/>
    </row>
    <row r="185" spans="1:9" ht="12.75" customHeight="1" x14ac:dyDescent="0.2">
      <c r="A185" s="43"/>
      <c r="B185" s="43"/>
      <c r="C185" s="43"/>
      <c r="D185" s="70"/>
      <c r="E185" s="43"/>
      <c r="F185" s="41"/>
      <c r="G185" s="41"/>
      <c r="H185" s="41"/>
      <c r="I185" s="43"/>
    </row>
    <row r="186" spans="1:9" ht="12.75" customHeight="1" x14ac:dyDescent="0.2">
      <c r="A186" s="43"/>
      <c r="B186" s="43"/>
      <c r="C186" s="43"/>
      <c r="D186" s="70"/>
      <c r="E186" s="43"/>
      <c r="F186" s="41"/>
      <c r="G186" s="41"/>
      <c r="H186" s="41"/>
      <c r="I186" s="43"/>
    </row>
    <row r="187" spans="1:9" ht="12.75" customHeight="1" x14ac:dyDescent="0.2">
      <c r="A187" s="43"/>
      <c r="B187" s="43"/>
      <c r="C187" s="43"/>
      <c r="D187" s="70"/>
      <c r="E187" s="43"/>
      <c r="F187" s="41"/>
      <c r="G187" s="41"/>
      <c r="H187" s="41"/>
      <c r="I187" s="43"/>
    </row>
    <row r="188" spans="1:9" ht="12.75" customHeight="1" x14ac:dyDescent="0.2">
      <c r="A188" s="43"/>
      <c r="B188" s="43"/>
      <c r="C188" s="43"/>
      <c r="D188" s="70"/>
      <c r="E188" s="43"/>
      <c r="F188" s="41"/>
      <c r="G188" s="41"/>
      <c r="H188" s="41"/>
      <c r="I188" s="43"/>
    </row>
    <row r="189" spans="1:9" ht="12.75" customHeight="1" x14ac:dyDescent="0.2">
      <c r="A189" s="43"/>
      <c r="B189" s="43"/>
      <c r="C189" s="43"/>
      <c r="D189" s="70"/>
      <c r="E189" s="43"/>
      <c r="F189" s="41"/>
      <c r="G189" s="41"/>
      <c r="H189" s="41"/>
      <c r="I189" s="43"/>
    </row>
    <row r="190" spans="1:9" ht="12.75" customHeight="1" x14ac:dyDescent="0.2">
      <c r="A190" s="43"/>
      <c r="B190" s="43"/>
      <c r="C190" s="43"/>
      <c r="D190" s="70"/>
      <c r="E190" s="43"/>
      <c r="F190" s="41"/>
      <c r="G190" s="41"/>
      <c r="H190" s="41"/>
      <c r="I190" s="43"/>
    </row>
    <row r="191" spans="1:9" ht="12.75" customHeight="1" x14ac:dyDescent="0.2">
      <c r="A191" s="43"/>
      <c r="B191" s="43"/>
      <c r="C191" s="43"/>
      <c r="D191" s="70"/>
      <c r="E191" s="43"/>
      <c r="F191" s="41"/>
      <c r="G191" s="41"/>
      <c r="H191" s="41"/>
      <c r="I191" s="43"/>
    </row>
    <row r="192" spans="1:9" ht="12.75" customHeight="1" x14ac:dyDescent="0.2">
      <c r="A192" s="43"/>
      <c r="B192" s="43"/>
      <c r="C192" s="43"/>
      <c r="D192" s="70"/>
      <c r="E192" s="43"/>
      <c r="F192" s="41"/>
      <c r="G192" s="41"/>
      <c r="H192" s="41"/>
      <c r="I192" s="43"/>
    </row>
    <row r="193" spans="1:9" ht="12.75" customHeight="1" x14ac:dyDescent="0.2">
      <c r="A193" s="43"/>
      <c r="B193" s="43"/>
      <c r="C193" s="43"/>
      <c r="D193" s="70"/>
      <c r="E193" s="43"/>
      <c r="F193" s="41"/>
      <c r="G193" s="41"/>
      <c r="H193" s="41"/>
      <c r="I193" s="43"/>
    </row>
    <row r="194" spans="1:9" ht="12.75" customHeight="1" x14ac:dyDescent="0.2">
      <c r="A194" s="43"/>
      <c r="B194" s="43"/>
      <c r="C194" s="43"/>
      <c r="D194" s="70"/>
      <c r="E194" s="43"/>
      <c r="F194" s="41"/>
      <c r="G194" s="41"/>
      <c r="H194" s="41"/>
      <c r="I194" s="43"/>
    </row>
    <row r="195" spans="1:9" ht="12.75" customHeight="1" x14ac:dyDescent="0.2">
      <c r="A195" s="43"/>
      <c r="B195" s="43"/>
      <c r="C195" s="43"/>
      <c r="D195" s="70"/>
      <c r="E195" s="43"/>
      <c r="F195" s="41"/>
      <c r="G195" s="41"/>
      <c r="H195" s="41"/>
      <c r="I195" s="43"/>
    </row>
    <row r="196" spans="1:9" ht="12.75" customHeight="1" x14ac:dyDescent="0.2">
      <c r="A196" s="43"/>
      <c r="B196" s="43"/>
      <c r="C196" s="43"/>
      <c r="D196" s="70"/>
      <c r="E196" s="43"/>
      <c r="F196" s="41"/>
      <c r="G196" s="41"/>
      <c r="H196" s="41"/>
      <c r="I196" s="43"/>
    </row>
    <row r="197" spans="1:9" ht="12.75" customHeight="1" x14ac:dyDescent="0.2">
      <c r="A197" s="43"/>
      <c r="B197" s="43"/>
      <c r="C197" s="43"/>
      <c r="D197" s="70"/>
      <c r="E197" s="43"/>
      <c r="F197" s="41"/>
      <c r="G197" s="41"/>
      <c r="H197" s="41"/>
      <c r="I197" s="43"/>
    </row>
    <row r="198" spans="1:9" ht="12.75" customHeight="1" x14ac:dyDescent="0.2">
      <c r="A198" s="43"/>
      <c r="B198" s="43"/>
      <c r="C198" s="43"/>
      <c r="D198" s="70"/>
      <c r="E198" s="43"/>
      <c r="F198" s="41"/>
      <c r="G198" s="41"/>
      <c r="H198" s="41"/>
      <c r="I198" s="43"/>
    </row>
    <row r="199" spans="1:9" ht="12.75" customHeight="1" x14ac:dyDescent="0.2">
      <c r="A199" s="43"/>
      <c r="B199" s="43"/>
      <c r="C199" s="43"/>
      <c r="D199" s="70"/>
      <c r="E199" s="43"/>
      <c r="F199" s="41"/>
      <c r="G199" s="41"/>
      <c r="H199" s="41"/>
      <c r="I199" s="43"/>
    </row>
    <row r="200" spans="1:9" ht="12.75" customHeight="1" x14ac:dyDescent="0.2">
      <c r="A200" s="43"/>
      <c r="B200" s="43"/>
      <c r="C200" s="43"/>
      <c r="D200" s="70"/>
      <c r="E200" s="43"/>
      <c r="F200" s="41"/>
      <c r="G200" s="41"/>
      <c r="H200" s="41"/>
      <c r="I200" s="43"/>
    </row>
    <row r="201" spans="1:9" ht="12.75" customHeight="1" x14ac:dyDescent="0.2">
      <c r="A201" s="43"/>
      <c r="B201" s="43"/>
      <c r="C201" s="43"/>
      <c r="D201" s="70"/>
      <c r="E201" s="43"/>
      <c r="F201" s="41"/>
      <c r="G201" s="41"/>
      <c r="H201" s="41"/>
      <c r="I201" s="43"/>
    </row>
    <row r="202" spans="1:9" ht="12.75" customHeight="1" x14ac:dyDescent="0.2">
      <c r="A202" s="43"/>
      <c r="B202" s="43"/>
      <c r="C202" s="43"/>
      <c r="D202" s="70"/>
      <c r="E202" s="43"/>
      <c r="F202" s="41"/>
      <c r="G202" s="41"/>
      <c r="H202" s="41"/>
      <c r="I202" s="43"/>
    </row>
    <row r="203" spans="1:9" ht="12.75" customHeight="1" x14ac:dyDescent="0.2">
      <c r="A203" s="43"/>
      <c r="B203" s="43"/>
      <c r="C203" s="43"/>
      <c r="D203" s="70"/>
      <c r="E203" s="43"/>
      <c r="F203" s="41"/>
      <c r="G203" s="41"/>
      <c r="H203" s="41"/>
      <c r="I203" s="43"/>
    </row>
    <row r="204" spans="1:9" ht="12.75" customHeight="1" x14ac:dyDescent="0.2">
      <c r="F204" s="31"/>
      <c r="G204" s="31"/>
      <c r="H204" s="31"/>
    </row>
    <row r="205" spans="1:9" ht="12.75" customHeight="1" x14ac:dyDescent="0.2">
      <c r="F205" s="31"/>
      <c r="G205" s="31"/>
      <c r="H205" s="31"/>
    </row>
    <row r="206" spans="1:9" ht="12.75" customHeight="1" x14ac:dyDescent="0.2">
      <c r="F206" s="31"/>
      <c r="G206" s="31"/>
      <c r="H206" s="31"/>
    </row>
    <row r="207" spans="1:9" ht="12.75" customHeight="1" x14ac:dyDescent="0.2">
      <c r="F207" s="31"/>
      <c r="G207" s="31"/>
      <c r="H207" s="31"/>
    </row>
    <row r="208" spans="1:9" ht="12.75" customHeight="1" x14ac:dyDescent="0.2">
      <c r="F208" s="31"/>
      <c r="G208" s="31"/>
      <c r="H208" s="31"/>
    </row>
    <row r="209" spans="6:8" ht="12.75" customHeight="1" x14ac:dyDescent="0.2">
      <c r="F209" s="31"/>
      <c r="G209" s="31"/>
      <c r="H209" s="31"/>
    </row>
    <row r="210" spans="6:8" ht="12.75" customHeight="1" x14ac:dyDescent="0.2">
      <c r="F210" s="31"/>
      <c r="G210" s="31"/>
      <c r="H210" s="31"/>
    </row>
    <row r="211" spans="6:8" ht="12.75" customHeight="1" x14ac:dyDescent="0.2">
      <c r="F211" s="31"/>
      <c r="G211" s="31"/>
      <c r="H211" s="31"/>
    </row>
    <row r="212" spans="6:8" ht="12.75" customHeight="1" x14ac:dyDescent="0.2">
      <c r="F212" s="31"/>
      <c r="G212" s="31"/>
      <c r="H212" s="31"/>
    </row>
    <row r="213" spans="6:8" ht="12.75" customHeight="1" x14ac:dyDescent="0.2">
      <c r="F213" s="31"/>
      <c r="G213" s="31"/>
      <c r="H213" s="31"/>
    </row>
    <row r="214" spans="6:8" ht="12.75" customHeight="1" x14ac:dyDescent="0.2">
      <c r="F214" s="31"/>
      <c r="G214" s="31"/>
      <c r="H214" s="31"/>
    </row>
    <row r="215" spans="6:8" ht="12.75" customHeight="1" x14ac:dyDescent="0.2">
      <c r="F215" s="31"/>
      <c r="G215" s="31"/>
      <c r="H215" s="31"/>
    </row>
    <row r="216" spans="6:8" ht="12.75" customHeight="1" x14ac:dyDescent="0.2">
      <c r="F216" s="31"/>
      <c r="G216" s="31"/>
      <c r="H216" s="31"/>
    </row>
    <row r="217" spans="6:8" ht="12.75" customHeight="1" x14ac:dyDescent="0.2">
      <c r="F217" s="31"/>
      <c r="G217" s="31"/>
      <c r="H217" s="31"/>
    </row>
    <row r="218" spans="6:8" ht="12.75" customHeight="1" x14ac:dyDescent="0.2">
      <c r="F218" s="31"/>
      <c r="G218" s="31"/>
      <c r="H218" s="31"/>
    </row>
    <row r="219" spans="6:8" ht="12.75" customHeight="1" x14ac:dyDescent="0.2">
      <c r="F219" s="31"/>
      <c r="G219" s="31"/>
      <c r="H219" s="31"/>
    </row>
    <row r="220" spans="6:8" ht="12.75" customHeight="1" x14ac:dyDescent="0.2">
      <c r="F220" s="31"/>
      <c r="G220" s="31"/>
      <c r="H220" s="31"/>
    </row>
    <row r="221" spans="6:8" ht="12.75" customHeight="1" x14ac:dyDescent="0.2">
      <c r="F221" s="31"/>
      <c r="G221" s="31"/>
      <c r="H221" s="31"/>
    </row>
    <row r="222" spans="6:8" ht="12.75" customHeight="1" x14ac:dyDescent="0.2">
      <c r="F222" s="31"/>
      <c r="G222" s="31"/>
      <c r="H222" s="31"/>
    </row>
    <row r="223" spans="6:8" ht="12.75" customHeight="1" x14ac:dyDescent="0.2">
      <c r="F223" s="31"/>
      <c r="G223" s="31"/>
      <c r="H223" s="31"/>
    </row>
    <row r="224" spans="6:8" ht="12.75" customHeight="1" x14ac:dyDescent="0.2">
      <c r="F224" s="31"/>
      <c r="G224" s="31"/>
      <c r="H224" s="31"/>
    </row>
    <row r="225" spans="6:8" ht="12.75" customHeight="1" x14ac:dyDescent="0.2">
      <c r="F225" s="31"/>
      <c r="G225" s="31"/>
      <c r="H225" s="31"/>
    </row>
    <row r="226" spans="6:8" ht="12.75" customHeight="1" x14ac:dyDescent="0.2">
      <c r="F226" s="31"/>
      <c r="G226" s="31"/>
      <c r="H226" s="31"/>
    </row>
    <row r="227" spans="6:8" ht="12.75" customHeight="1" x14ac:dyDescent="0.2">
      <c r="F227" s="31"/>
      <c r="G227" s="31"/>
      <c r="H227" s="31"/>
    </row>
    <row r="228" spans="6:8" ht="12.75" customHeight="1" x14ac:dyDescent="0.2">
      <c r="F228" s="31"/>
      <c r="G228" s="31"/>
      <c r="H228" s="31"/>
    </row>
    <row r="229" spans="6:8" ht="12.75" customHeight="1" x14ac:dyDescent="0.2">
      <c r="F229" s="31"/>
      <c r="G229" s="31"/>
      <c r="H229" s="31"/>
    </row>
    <row r="230" spans="6:8" ht="12.75" customHeight="1" x14ac:dyDescent="0.2">
      <c r="F230" s="31"/>
      <c r="G230" s="31"/>
      <c r="H230" s="31"/>
    </row>
    <row r="231" spans="6:8" ht="12.75" customHeight="1" x14ac:dyDescent="0.2">
      <c r="F231" s="31"/>
      <c r="G231" s="31"/>
      <c r="H231" s="31"/>
    </row>
    <row r="232" spans="6:8" ht="12.75" customHeight="1" x14ac:dyDescent="0.2">
      <c r="F232" s="31"/>
      <c r="G232" s="31"/>
      <c r="H232" s="31"/>
    </row>
    <row r="233" spans="6:8" ht="12.75" customHeight="1" x14ac:dyDescent="0.2">
      <c r="F233" s="31"/>
      <c r="G233" s="31"/>
      <c r="H233" s="31"/>
    </row>
    <row r="234" spans="6:8" ht="12.75" customHeight="1" x14ac:dyDescent="0.2">
      <c r="F234" s="31"/>
      <c r="G234" s="31"/>
      <c r="H234" s="31"/>
    </row>
    <row r="235" spans="6:8" ht="12.75" customHeight="1" x14ac:dyDescent="0.2">
      <c r="F235" s="31"/>
      <c r="G235" s="31"/>
      <c r="H235" s="31"/>
    </row>
    <row r="236" spans="6:8" ht="12.75" customHeight="1" x14ac:dyDescent="0.2">
      <c r="F236" s="31"/>
      <c r="G236" s="31"/>
      <c r="H236" s="31"/>
    </row>
    <row r="237" spans="6:8" ht="12.75" customHeight="1" x14ac:dyDescent="0.2">
      <c r="F237" s="31"/>
      <c r="G237" s="31"/>
      <c r="H237" s="31"/>
    </row>
    <row r="238" spans="6:8" ht="12.75" customHeight="1" x14ac:dyDescent="0.2">
      <c r="F238" s="31"/>
      <c r="G238" s="31"/>
      <c r="H238" s="31"/>
    </row>
    <row r="239" spans="6:8" ht="12.75" customHeight="1" x14ac:dyDescent="0.2">
      <c r="F239" s="31"/>
      <c r="G239" s="31"/>
      <c r="H239" s="31"/>
    </row>
    <row r="240" spans="6:8" ht="12.75" customHeight="1" x14ac:dyDescent="0.2">
      <c r="F240" s="31"/>
      <c r="G240" s="31"/>
      <c r="H240" s="31"/>
    </row>
    <row r="241" spans="6:8" ht="12.75" customHeight="1" x14ac:dyDescent="0.2">
      <c r="F241" s="31"/>
      <c r="G241" s="31"/>
      <c r="H241" s="31"/>
    </row>
    <row r="242" spans="6:8" ht="12.75" customHeight="1" x14ac:dyDescent="0.2">
      <c r="F242" s="31"/>
      <c r="G242" s="31"/>
      <c r="H242" s="31"/>
    </row>
    <row r="243" spans="6:8" ht="12.75" customHeight="1" x14ac:dyDescent="0.2">
      <c r="F243" s="31"/>
      <c r="G243" s="31"/>
      <c r="H243" s="31"/>
    </row>
    <row r="244" spans="6:8" ht="12.75" customHeight="1" x14ac:dyDescent="0.2">
      <c r="F244" s="31"/>
      <c r="G244" s="31"/>
      <c r="H244" s="31"/>
    </row>
    <row r="245" spans="6:8" ht="12.75" customHeight="1" x14ac:dyDescent="0.2">
      <c r="F245" s="31"/>
      <c r="G245" s="31"/>
      <c r="H245" s="31"/>
    </row>
    <row r="246" spans="6:8" ht="12.75" customHeight="1" x14ac:dyDescent="0.2">
      <c r="F246" s="31"/>
      <c r="G246" s="31"/>
      <c r="H246" s="31"/>
    </row>
    <row r="247" spans="6:8" ht="12.75" customHeight="1" x14ac:dyDescent="0.2">
      <c r="F247" s="31"/>
      <c r="G247" s="31"/>
      <c r="H247" s="31"/>
    </row>
    <row r="248" spans="6:8" ht="12.75" customHeight="1" x14ac:dyDescent="0.2">
      <c r="F248" s="31"/>
      <c r="G248" s="31"/>
      <c r="H248" s="31"/>
    </row>
    <row r="249" spans="6:8" ht="12.75" customHeight="1" x14ac:dyDescent="0.2">
      <c r="F249" s="31"/>
      <c r="G249" s="31"/>
      <c r="H249" s="31"/>
    </row>
    <row r="250" spans="6:8" ht="12.75" customHeight="1" x14ac:dyDescent="0.2">
      <c r="F250" s="31"/>
      <c r="G250" s="31"/>
      <c r="H250" s="31"/>
    </row>
    <row r="251" spans="6:8" ht="12.75" customHeight="1" x14ac:dyDescent="0.2">
      <c r="F251" s="31"/>
      <c r="G251" s="31"/>
      <c r="H251" s="31"/>
    </row>
    <row r="252" spans="6:8" ht="12.75" customHeight="1" x14ac:dyDescent="0.2">
      <c r="F252" s="31"/>
      <c r="G252" s="31"/>
      <c r="H252" s="31"/>
    </row>
    <row r="253" spans="6:8" ht="12.75" customHeight="1" x14ac:dyDescent="0.2">
      <c r="F253" s="31"/>
      <c r="G253" s="31"/>
      <c r="H253" s="31"/>
    </row>
    <row r="254" spans="6:8" ht="12.75" customHeight="1" x14ac:dyDescent="0.2">
      <c r="F254" s="31"/>
      <c r="G254" s="31"/>
      <c r="H254" s="31"/>
    </row>
    <row r="255" spans="6:8" ht="12.75" customHeight="1" x14ac:dyDescent="0.2">
      <c r="F255" s="31"/>
      <c r="G255" s="31"/>
      <c r="H255" s="31"/>
    </row>
    <row r="256" spans="6:8" ht="12.75" customHeight="1" x14ac:dyDescent="0.2">
      <c r="F256" s="31"/>
      <c r="G256" s="31"/>
      <c r="H256" s="31"/>
    </row>
    <row r="257" spans="6:8" ht="12.75" customHeight="1" x14ac:dyDescent="0.2">
      <c r="F257" s="31"/>
      <c r="G257" s="31"/>
      <c r="H257" s="31"/>
    </row>
    <row r="258" spans="6:8" ht="12.75" customHeight="1" x14ac:dyDescent="0.2">
      <c r="F258" s="31"/>
      <c r="G258" s="31"/>
      <c r="H258" s="31"/>
    </row>
    <row r="259" spans="6:8" ht="12.75" customHeight="1" x14ac:dyDescent="0.2">
      <c r="F259" s="31"/>
      <c r="G259" s="31"/>
      <c r="H259" s="31"/>
    </row>
    <row r="260" spans="6:8" ht="12.75" customHeight="1" x14ac:dyDescent="0.2">
      <c r="F260" s="31"/>
      <c r="G260" s="31"/>
      <c r="H260" s="31"/>
    </row>
    <row r="261" spans="6:8" ht="12.75" customHeight="1" x14ac:dyDescent="0.2">
      <c r="F261" s="31"/>
      <c r="G261" s="31"/>
      <c r="H261" s="31"/>
    </row>
    <row r="262" spans="6:8" ht="12.75" customHeight="1" x14ac:dyDescent="0.2">
      <c r="F262" s="31"/>
      <c r="G262" s="31"/>
      <c r="H262" s="31"/>
    </row>
    <row r="263" spans="6:8" ht="12.75" customHeight="1" x14ac:dyDescent="0.2">
      <c r="F263" s="31"/>
      <c r="G263" s="31"/>
      <c r="H263" s="31"/>
    </row>
    <row r="264" spans="6:8" ht="12.75" customHeight="1" x14ac:dyDescent="0.2">
      <c r="F264" s="31"/>
      <c r="G264" s="31"/>
      <c r="H264" s="31"/>
    </row>
    <row r="265" spans="6:8" ht="12.75" customHeight="1" x14ac:dyDescent="0.2">
      <c r="F265" s="31"/>
      <c r="G265" s="31"/>
      <c r="H265" s="31"/>
    </row>
    <row r="266" spans="6:8" ht="12.75" customHeight="1" x14ac:dyDescent="0.2">
      <c r="F266" s="31"/>
      <c r="G266" s="31"/>
      <c r="H266" s="31"/>
    </row>
    <row r="267" spans="6:8" ht="12.75" customHeight="1" x14ac:dyDescent="0.2">
      <c r="F267" s="31"/>
      <c r="G267" s="31"/>
      <c r="H267" s="31"/>
    </row>
    <row r="268" spans="6:8" ht="12.75" customHeight="1" x14ac:dyDescent="0.2">
      <c r="F268" s="31"/>
      <c r="G268" s="31"/>
      <c r="H268" s="31"/>
    </row>
    <row r="269" spans="6:8" ht="12.75" customHeight="1" x14ac:dyDescent="0.2">
      <c r="F269" s="31"/>
      <c r="G269" s="31"/>
      <c r="H269" s="31"/>
    </row>
    <row r="270" spans="6:8" ht="12.75" customHeight="1" x14ac:dyDescent="0.2">
      <c r="F270" s="31"/>
      <c r="G270" s="31"/>
      <c r="H270" s="31"/>
    </row>
    <row r="271" spans="6:8" ht="12.75" customHeight="1" x14ac:dyDescent="0.2">
      <c r="F271" s="31"/>
      <c r="G271" s="31"/>
      <c r="H271" s="31"/>
    </row>
    <row r="272" spans="6:8" ht="12.75" customHeight="1" x14ac:dyDescent="0.2">
      <c r="F272" s="31"/>
      <c r="G272" s="31"/>
      <c r="H272" s="31"/>
    </row>
    <row r="273" spans="6:8" ht="12.75" customHeight="1" x14ac:dyDescent="0.2">
      <c r="F273" s="31"/>
      <c r="G273" s="31"/>
      <c r="H273" s="31"/>
    </row>
    <row r="274" spans="6:8" ht="12.75" customHeight="1" x14ac:dyDescent="0.2">
      <c r="F274" s="31"/>
      <c r="G274" s="31"/>
      <c r="H274" s="31"/>
    </row>
    <row r="275" spans="6:8" ht="12.75" customHeight="1" x14ac:dyDescent="0.2">
      <c r="F275" s="31"/>
      <c r="G275" s="31"/>
      <c r="H275" s="31"/>
    </row>
    <row r="276" spans="6:8" ht="12.75" customHeight="1" x14ac:dyDescent="0.2">
      <c r="F276" s="31"/>
      <c r="G276" s="31"/>
      <c r="H276" s="31"/>
    </row>
    <row r="277" spans="6:8" ht="12.75" customHeight="1" x14ac:dyDescent="0.2">
      <c r="F277" s="31"/>
      <c r="G277" s="31"/>
      <c r="H277" s="31"/>
    </row>
    <row r="278" spans="6:8" ht="12.75" customHeight="1" x14ac:dyDescent="0.2">
      <c r="F278" s="31"/>
      <c r="G278" s="31"/>
      <c r="H278" s="31"/>
    </row>
    <row r="279" spans="6:8" ht="12.75" customHeight="1" x14ac:dyDescent="0.2">
      <c r="F279" s="31"/>
      <c r="G279" s="31"/>
      <c r="H279" s="31"/>
    </row>
    <row r="280" spans="6:8" ht="12.75" customHeight="1" x14ac:dyDescent="0.2">
      <c r="F280" s="31"/>
      <c r="G280" s="31"/>
      <c r="H280" s="31"/>
    </row>
    <row r="281" spans="6:8" ht="12.75" customHeight="1" x14ac:dyDescent="0.2">
      <c r="F281" s="31"/>
      <c r="G281" s="31"/>
      <c r="H281" s="31"/>
    </row>
    <row r="282" spans="6:8" ht="12.75" customHeight="1" x14ac:dyDescent="0.2">
      <c r="F282" s="31"/>
      <c r="G282" s="31"/>
      <c r="H282" s="31"/>
    </row>
    <row r="283" spans="6:8" ht="12.75" customHeight="1" x14ac:dyDescent="0.2">
      <c r="F283" s="31"/>
      <c r="G283" s="31"/>
      <c r="H283" s="31"/>
    </row>
    <row r="284" spans="6:8" ht="12.75" customHeight="1" x14ac:dyDescent="0.2">
      <c r="F284" s="31"/>
      <c r="G284" s="31"/>
      <c r="H284" s="31"/>
    </row>
    <row r="285" spans="6:8" ht="12.75" customHeight="1" x14ac:dyDescent="0.2">
      <c r="F285" s="31"/>
      <c r="G285" s="31"/>
      <c r="H285" s="31"/>
    </row>
    <row r="286" spans="6:8" ht="12.75" customHeight="1" x14ac:dyDescent="0.2">
      <c r="F286" s="31"/>
      <c r="G286" s="31"/>
      <c r="H286" s="31"/>
    </row>
    <row r="287" spans="6:8" ht="12.75" customHeight="1" x14ac:dyDescent="0.2">
      <c r="F287" s="31"/>
      <c r="G287" s="31"/>
      <c r="H287" s="31"/>
    </row>
    <row r="288" spans="6:8" ht="12.75" customHeight="1" x14ac:dyDescent="0.2">
      <c r="F288" s="31"/>
      <c r="G288" s="31"/>
      <c r="H288" s="31"/>
    </row>
    <row r="289" spans="6:8" ht="12.75" customHeight="1" x14ac:dyDescent="0.2">
      <c r="F289" s="31"/>
      <c r="G289" s="31"/>
      <c r="H289" s="31"/>
    </row>
    <row r="290" spans="6:8" ht="12.75" customHeight="1" x14ac:dyDescent="0.2">
      <c r="F290" s="31"/>
      <c r="G290" s="31"/>
      <c r="H290" s="31"/>
    </row>
    <row r="291" spans="6:8" ht="12.75" customHeight="1" x14ac:dyDescent="0.2">
      <c r="F291" s="31"/>
      <c r="G291" s="31"/>
      <c r="H291" s="31"/>
    </row>
    <row r="292" spans="6:8" ht="12.75" customHeight="1" x14ac:dyDescent="0.2">
      <c r="F292" s="31"/>
      <c r="G292" s="31"/>
      <c r="H292" s="31"/>
    </row>
    <row r="293" spans="6:8" ht="12.75" customHeight="1" x14ac:dyDescent="0.2">
      <c r="F293" s="31"/>
      <c r="G293" s="31"/>
      <c r="H293" s="31"/>
    </row>
    <row r="294" spans="6:8" ht="12.75" customHeight="1" x14ac:dyDescent="0.2">
      <c r="F294" s="31"/>
      <c r="G294" s="31"/>
      <c r="H294" s="31"/>
    </row>
    <row r="295" spans="6:8" ht="12.75" customHeight="1" x14ac:dyDescent="0.2">
      <c r="F295" s="31"/>
      <c r="G295" s="31"/>
      <c r="H295" s="31"/>
    </row>
    <row r="296" spans="6:8" ht="12.75" customHeight="1" x14ac:dyDescent="0.2">
      <c r="F296" s="31"/>
      <c r="G296" s="31"/>
      <c r="H296" s="31"/>
    </row>
    <row r="297" spans="6:8" ht="12.75" customHeight="1" x14ac:dyDescent="0.2">
      <c r="F297" s="31"/>
      <c r="G297" s="31"/>
      <c r="H297" s="31"/>
    </row>
    <row r="298" spans="6:8" ht="12.75" customHeight="1" x14ac:dyDescent="0.2">
      <c r="F298" s="31"/>
      <c r="G298" s="31"/>
      <c r="H298" s="31"/>
    </row>
    <row r="299" spans="6:8" ht="12.75" customHeight="1" x14ac:dyDescent="0.2">
      <c r="F299" s="31"/>
      <c r="G299" s="31"/>
      <c r="H299" s="31"/>
    </row>
    <row r="300" spans="6:8" ht="12.75" customHeight="1" x14ac:dyDescent="0.2">
      <c r="F300" s="31"/>
      <c r="G300" s="31"/>
      <c r="H300" s="31"/>
    </row>
    <row r="301" spans="6:8" ht="12.75" customHeight="1" x14ac:dyDescent="0.2">
      <c r="F301" s="31"/>
      <c r="G301" s="31"/>
      <c r="H301" s="31"/>
    </row>
    <row r="302" spans="6:8" ht="12.75" customHeight="1" x14ac:dyDescent="0.2">
      <c r="F302" s="31"/>
      <c r="G302" s="31"/>
      <c r="H302" s="31"/>
    </row>
    <row r="303" spans="6:8" ht="12.75" customHeight="1" x14ac:dyDescent="0.2">
      <c r="F303" s="31"/>
      <c r="G303" s="31"/>
      <c r="H303" s="31"/>
    </row>
    <row r="304" spans="6:8" ht="12.75" customHeight="1" x14ac:dyDescent="0.2">
      <c r="F304" s="31"/>
      <c r="G304" s="31"/>
      <c r="H304" s="31"/>
    </row>
    <row r="305" spans="6:8" ht="12.75" customHeight="1" x14ac:dyDescent="0.2">
      <c r="F305" s="31"/>
      <c r="G305" s="31"/>
      <c r="H305" s="31"/>
    </row>
    <row r="306" spans="6:8" ht="12.75" customHeight="1" x14ac:dyDescent="0.2">
      <c r="F306" s="31"/>
      <c r="G306" s="31"/>
      <c r="H306" s="31"/>
    </row>
    <row r="307" spans="6:8" ht="12.75" customHeight="1" x14ac:dyDescent="0.2">
      <c r="F307" s="31"/>
      <c r="G307" s="31"/>
      <c r="H307" s="31"/>
    </row>
    <row r="308" spans="6:8" ht="12.75" customHeight="1" x14ac:dyDescent="0.2">
      <c r="F308" s="31"/>
      <c r="G308" s="31"/>
      <c r="H308" s="31"/>
    </row>
    <row r="309" spans="6:8" ht="12.75" customHeight="1" x14ac:dyDescent="0.2">
      <c r="F309" s="31"/>
      <c r="G309" s="31"/>
      <c r="H309" s="31"/>
    </row>
    <row r="310" spans="6:8" ht="12.75" customHeight="1" x14ac:dyDescent="0.2">
      <c r="F310" s="31"/>
      <c r="G310" s="31"/>
      <c r="H310" s="31"/>
    </row>
    <row r="311" spans="6:8" ht="12.75" customHeight="1" x14ac:dyDescent="0.2">
      <c r="F311" s="31"/>
      <c r="G311" s="31"/>
      <c r="H311" s="31"/>
    </row>
    <row r="312" spans="6:8" ht="12.75" customHeight="1" x14ac:dyDescent="0.2">
      <c r="F312" s="31"/>
      <c r="G312" s="31"/>
      <c r="H312" s="31"/>
    </row>
    <row r="313" spans="6:8" ht="12.75" customHeight="1" x14ac:dyDescent="0.2">
      <c r="F313" s="31"/>
      <c r="G313" s="31"/>
      <c r="H313" s="31"/>
    </row>
    <row r="314" spans="6:8" ht="12.75" customHeight="1" x14ac:dyDescent="0.2">
      <c r="F314" s="31"/>
      <c r="G314" s="31"/>
      <c r="H314" s="31"/>
    </row>
    <row r="315" spans="6:8" ht="12.75" customHeight="1" x14ac:dyDescent="0.2">
      <c r="F315" s="31"/>
      <c r="G315" s="31"/>
      <c r="H315" s="31"/>
    </row>
    <row r="316" spans="6:8" ht="12.75" customHeight="1" x14ac:dyDescent="0.2">
      <c r="F316" s="31"/>
      <c r="G316" s="31"/>
      <c r="H316" s="31"/>
    </row>
    <row r="317" spans="6:8" ht="12.75" customHeight="1" x14ac:dyDescent="0.2">
      <c r="F317" s="31"/>
      <c r="G317" s="31"/>
      <c r="H317" s="31"/>
    </row>
    <row r="318" spans="6:8" ht="12.75" customHeight="1" x14ac:dyDescent="0.2">
      <c r="F318" s="31"/>
      <c r="G318" s="31"/>
      <c r="H318" s="31"/>
    </row>
    <row r="319" spans="6:8" ht="12.75" customHeight="1" x14ac:dyDescent="0.2">
      <c r="F319" s="31"/>
      <c r="G319" s="31"/>
      <c r="H319" s="31"/>
    </row>
    <row r="320" spans="6:8" ht="12.75" customHeight="1" x14ac:dyDescent="0.2">
      <c r="F320" s="31"/>
      <c r="G320" s="31"/>
      <c r="H320" s="31"/>
    </row>
    <row r="321" spans="6:8" ht="12.75" customHeight="1" x14ac:dyDescent="0.2">
      <c r="F321" s="31"/>
      <c r="G321" s="31"/>
      <c r="H321" s="31"/>
    </row>
    <row r="322" spans="6:8" ht="12.75" customHeight="1" x14ac:dyDescent="0.2">
      <c r="F322" s="31"/>
      <c r="G322" s="31"/>
      <c r="H322" s="31"/>
    </row>
    <row r="323" spans="6:8" ht="12.75" customHeight="1" x14ac:dyDescent="0.2">
      <c r="F323" s="31"/>
      <c r="G323" s="31"/>
      <c r="H323" s="31"/>
    </row>
    <row r="324" spans="6:8" ht="12.75" customHeight="1" x14ac:dyDescent="0.2">
      <c r="F324" s="31"/>
      <c r="G324" s="31"/>
      <c r="H324" s="31"/>
    </row>
    <row r="325" spans="6:8" ht="12.75" customHeight="1" x14ac:dyDescent="0.2">
      <c r="F325" s="31"/>
      <c r="G325" s="31"/>
      <c r="H325" s="31"/>
    </row>
    <row r="326" spans="6:8" ht="12.75" customHeight="1" x14ac:dyDescent="0.2">
      <c r="F326" s="31"/>
      <c r="G326" s="31"/>
      <c r="H326" s="31"/>
    </row>
    <row r="327" spans="6:8" ht="12.75" customHeight="1" x14ac:dyDescent="0.2">
      <c r="F327" s="31"/>
      <c r="G327" s="31"/>
      <c r="H327" s="31"/>
    </row>
    <row r="328" spans="6:8" ht="12.75" customHeight="1" x14ac:dyDescent="0.2">
      <c r="F328" s="31"/>
      <c r="G328" s="31"/>
      <c r="H328" s="31"/>
    </row>
    <row r="329" spans="6:8" ht="12.75" customHeight="1" x14ac:dyDescent="0.2">
      <c r="F329" s="31"/>
      <c r="G329" s="31"/>
      <c r="H329" s="31"/>
    </row>
    <row r="330" spans="6:8" ht="12.75" customHeight="1" x14ac:dyDescent="0.2">
      <c r="F330" s="31"/>
      <c r="G330" s="31"/>
      <c r="H330" s="31"/>
    </row>
    <row r="331" spans="6:8" ht="12.75" customHeight="1" x14ac:dyDescent="0.2">
      <c r="F331" s="31"/>
      <c r="G331" s="31"/>
      <c r="H331" s="31"/>
    </row>
    <row r="332" spans="6:8" ht="12.75" customHeight="1" x14ac:dyDescent="0.2">
      <c r="F332" s="31"/>
      <c r="G332" s="31"/>
      <c r="H332" s="31"/>
    </row>
    <row r="333" spans="6:8" ht="12.75" customHeight="1" x14ac:dyDescent="0.2">
      <c r="F333" s="31"/>
      <c r="G333" s="31"/>
      <c r="H333" s="31"/>
    </row>
    <row r="334" spans="6:8" ht="12.75" customHeight="1" x14ac:dyDescent="0.2">
      <c r="F334" s="31"/>
      <c r="G334" s="31"/>
      <c r="H334" s="31"/>
    </row>
    <row r="335" spans="6:8" ht="12.75" customHeight="1" x14ac:dyDescent="0.2">
      <c r="F335" s="31"/>
      <c r="G335" s="31"/>
      <c r="H335" s="31"/>
    </row>
    <row r="336" spans="6:8" ht="12.75" customHeight="1" x14ac:dyDescent="0.2">
      <c r="F336" s="31"/>
      <c r="G336" s="31"/>
      <c r="H336" s="31"/>
    </row>
    <row r="337" spans="6:8" ht="12.75" customHeight="1" x14ac:dyDescent="0.2">
      <c r="F337" s="31"/>
      <c r="G337" s="31"/>
      <c r="H337" s="31"/>
    </row>
    <row r="338" spans="6:8" ht="12.75" customHeight="1" x14ac:dyDescent="0.2">
      <c r="F338" s="31"/>
      <c r="G338" s="31"/>
      <c r="H338" s="31"/>
    </row>
    <row r="339" spans="6:8" ht="12.75" customHeight="1" x14ac:dyDescent="0.2">
      <c r="F339" s="31"/>
      <c r="G339" s="31"/>
      <c r="H339" s="31"/>
    </row>
    <row r="340" spans="6:8" ht="12.75" customHeight="1" x14ac:dyDescent="0.2">
      <c r="F340" s="31"/>
      <c r="G340" s="31"/>
      <c r="H340" s="31"/>
    </row>
    <row r="341" spans="6:8" ht="12.75" customHeight="1" x14ac:dyDescent="0.2">
      <c r="F341" s="31"/>
      <c r="G341" s="31"/>
      <c r="H341" s="31"/>
    </row>
    <row r="342" spans="6:8" ht="12.75" customHeight="1" x14ac:dyDescent="0.2">
      <c r="F342" s="31"/>
      <c r="G342" s="31"/>
      <c r="H342" s="31"/>
    </row>
    <row r="343" spans="6:8" ht="12.75" customHeight="1" x14ac:dyDescent="0.2">
      <c r="F343" s="31"/>
      <c r="G343" s="31"/>
      <c r="H343" s="31"/>
    </row>
    <row r="344" spans="6:8" ht="12.75" customHeight="1" x14ac:dyDescent="0.2">
      <c r="F344" s="31"/>
      <c r="G344" s="31"/>
      <c r="H344" s="31"/>
    </row>
    <row r="345" spans="6:8" ht="12.75" customHeight="1" x14ac:dyDescent="0.2">
      <c r="F345" s="31"/>
      <c r="G345" s="31"/>
      <c r="H345" s="31"/>
    </row>
    <row r="346" spans="6:8" ht="12.75" customHeight="1" x14ac:dyDescent="0.2">
      <c r="F346" s="31"/>
      <c r="G346" s="31"/>
      <c r="H346" s="31"/>
    </row>
    <row r="347" spans="6:8" ht="12.75" customHeight="1" x14ac:dyDescent="0.2">
      <c r="F347" s="31"/>
      <c r="G347" s="31"/>
      <c r="H347" s="31"/>
    </row>
    <row r="348" spans="6:8" ht="12.75" customHeight="1" x14ac:dyDescent="0.2">
      <c r="F348" s="31"/>
      <c r="G348" s="31"/>
      <c r="H348" s="31"/>
    </row>
    <row r="349" spans="6:8" ht="12.75" customHeight="1" x14ac:dyDescent="0.2">
      <c r="F349" s="31"/>
      <c r="G349" s="31"/>
      <c r="H349" s="31"/>
    </row>
    <row r="350" spans="6:8" ht="12.75" customHeight="1" x14ac:dyDescent="0.2">
      <c r="F350" s="31"/>
      <c r="G350" s="31"/>
      <c r="H350" s="31"/>
    </row>
    <row r="351" spans="6:8" ht="12.75" customHeight="1" x14ac:dyDescent="0.2">
      <c r="F351" s="31"/>
      <c r="G351" s="31"/>
      <c r="H351" s="31"/>
    </row>
    <row r="352" spans="6:8" ht="12.75" customHeight="1" x14ac:dyDescent="0.2">
      <c r="F352" s="31"/>
      <c r="G352" s="31"/>
      <c r="H352" s="31"/>
    </row>
    <row r="353" spans="6:8" ht="12.75" customHeight="1" x14ac:dyDescent="0.2">
      <c r="F353" s="31"/>
      <c r="G353" s="31"/>
      <c r="H353" s="31"/>
    </row>
    <row r="354" spans="6:8" ht="12.75" customHeight="1" x14ac:dyDescent="0.2">
      <c r="F354" s="31"/>
      <c r="G354" s="31"/>
      <c r="H354" s="31"/>
    </row>
    <row r="355" spans="6:8" ht="12.75" customHeight="1" x14ac:dyDescent="0.2">
      <c r="F355" s="31"/>
      <c r="G355" s="31"/>
      <c r="H355" s="31"/>
    </row>
    <row r="356" spans="6:8" ht="12.75" customHeight="1" x14ac:dyDescent="0.2">
      <c r="F356" s="31"/>
      <c r="G356" s="31"/>
      <c r="H356" s="31"/>
    </row>
    <row r="357" spans="6:8" ht="12.75" customHeight="1" x14ac:dyDescent="0.2">
      <c r="F357" s="31"/>
      <c r="G357" s="31"/>
      <c r="H357" s="31"/>
    </row>
    <row r="358" spans="6:8" ht="12.75" customHeight="1" x14ac:dyDescent="0.2">
      <c r="F358" s="31"/>
      <c r="G358" s="31"/>
      <c r="H358" s="31"/>
    </row>
    <row r="359" spans="6:8" ht="12.75" customHeight="1" x14ac:dyDescent="0.2">
      <c r="F359" s="31"/>
      <c r="G359" s="31"/>
      <c r="H359" s="31"/>
    </row>
    <row r="360" spans="6:8" ht="12.75" customHeight="1" x14ac:dyDescent="0.2">
      <c r="F360" s="31"/>
      <c r="G360" s="31"/>
      <c r="H360" s="31"/>
    </row>
    <row r="361" spans="6:8" ht="12.75" customHeight="1" x14ac:dyDescent="0.2">
      <c r="F361" s="31"/>
      <c r="G361" s="31"/>
      <c r="H361" s="31"/>
    </row>
    <row r="362" spans="6:8" ht="12.75" customHeight="1" x14ac:dyDescent="0.2">
      <c r="F362" s="31"/>
      <c r="G362" s="31"/>
      <c r="H362" s="31"/>
    </row>
    <row r="363" spans="6:8" ht="12.75" customHeight="1" x14ac:dyDescent="0.2">
      <c r="F363" s="31"/>
      <c r="G363" s="31"/>
      <c r="H363" s="31"/>
    </row>
    <row r="364" spans="6:8" ht="12.75" customHeight="1" x14ac:dyDescent="0.2">
      <c r="F364" s="31"/>
      <c r="G364" s="31"/>
      <c r="H364" s="31"/>
    </row>
    <row r="365" spans="6:8" ht="12.75" customHeight="1" x14ac:dyDescent="0.2">
      <c r="F365" s="31"/>
      <c r="G365" s="31"/>
      <c r="H365" s="31"/>
    </row>
    <row r="366" spans="6:8" ht="12.75" customHeight="1" x14ac:dyDescent="0.2">
      <c r="F366" s="31"/>
      <c r="G366" s="31"/>
      <c r="H366" s="31"/>
    </row>
    <row r="367" spans="6:8" ht="12.75" customHeight="1" x14ac:dyDescent="0.2">
      <c r="F367" s="31"/>
      <c r="G367" s="31"/>
      <c r="H367" s="31"/>
    </row>
    <row r="368" spans="6:8" ht="12.75" customHeight="1" x14ac:dyDescent="0.2">
      <c r="F368" s="31"/>
      <c r="G368" s="31"/>
      <c r="H368" s="31"/>
    </row>
    <row r="369" spans="6:8" ht="12.75" customHeight="1" x14ac:dyDescent="0.2">
      <c r="F369" s="31"/>
      <c r="G369" s="31"/>
      <c r="H369" s="31"/>
    </row>
    <row r="370" spans="6:8" ht="12.75" customHeight="1" x14ac:dyDescent="0.2">
      <c r="F370" s="31"/>
      <c r="G370" s="31"/>
      <c r="H370" s="31"/>
    </row>
    <row r="371" spans="6:8" ht="12.75" customHeight="1" x14ac:dyDescent="0.2">
      <c r="F371" s="31"/>
      <c r="G371" s="31"/>
      <c r="H371" s="31"/>
    </row>
    <row r="372" spans="6:8" ht="12.75" customHeight="1" x14ac:dyDescent="0.2">
      <c r="F372" s="31"/>
      <c r="G372" s="31"/>
      <c r="H372" s="31"/>
    </row>
    <row r="373" spans="6:8" ht="12.75" customHeight="1" x14ac:dyDescent="0.2">
      <c r="F373" s="31"/>
      <c r="G373" s="31"/>
      <c r="H373" s="31"/>
    </row>
    <row r="374" spans="6:8" ht="12.75" customHeight="1" x14ac:dyDescent="0.2">
      <c r="F374" s="31"/>
      <c r="G374" s="31"/>
      <c r="H374" s="31"/>
    </row>
    <row r="375" spans="6:8" ht="12.75" customHeight="1" x14ac:dyDescent="0.2">
      <c r="F375" s="31"/>
      <c r="G375" s="31"/>
      <c r="H375" s="31"/>
    </row>
    <row r="376" spans="6:8" ht="12.75" customHeight="1" x14ac:dyDescent="0.2">
      <c r="F376" s="31"/>
      <c r="G376" s="31"/>
      <c r="H376" s="31"/>
    </row>
    <row r="377" spans="6:8" ht="12.75" customHeight="1" x14ac:dyDescent="0.2">
      <c r="F377" s="31"/>
      <c r="G377" s="31"/>
      <c r="H377" s="31"/>
    </row>
    <row r="378" spans="6:8" ht="12.75" customHeight="1" x14ac:dyDescent="0.2">
      <c r="F378" s="31"/>
      <c r="G378" s="31"/>
      <c r="H378" s="31"/>
    </row>
    <row r="379" spans="6:8" ht="12.75" customHeight="1" x14ac:dyDescent="0.2">
      <c r="F379" s="31"/>
      <c r="G379" s="31"/>
      <c r="H379" s="31"/>
    </row>
    <row r="380" spans="6:8" ht="12.75" customHeight="1" x14ac:dyDescent="0.2">
      <c r="F380" s="31"/>
      <c r="G380" s="31"/>
      <c r="H380" s="31"/>
    </row>
    <row r="381" spans="6:8" ht="12.75" customHeight="1" x14ac:dyDescent="0.2">
      <c r="F381" s="31"/>
      <c r="G381" s="31"/>
      <c r="H381" s="31"/>
    </row>
    <row r="382" spans="6:8" ht="12.75" customHeight="1" x14ac:dyDescent="0.2">
      <c r="F382" s="31"/>
      <c r="G382" s="31"/>
      <c r="H382" s="31"/>
    </row>
    <row r="383" spans="6:8" ht="12.75" customHeight="1" x14ac:dyDescent="0.2">
      <c r="F383" s="31"/>
      <c r="G383" s="31"/>
      <c r="H383" s="31"/>
    </row>
    <row r="384" spans="6:8" ht="12.75" customHeight="1" x14ac:dyDescent="0.2">
      <c r="F384" s="31"/>
      <c r="G384" s="31"/>
      <c r="H384" s="31"/>
    </row>
    <row r="385" spans="6:8" ht="12.75" customHeight="1" x14ac:dyDescent="0.2">
      <c r="F385" s="31"/>
      <c r="G385" s="31"/>
      <c r="H385" s="31"/>
    </row>
    <row r="386" spans="6:8" ht="12.75" customHeight="1" x14ac:dyDescent="0.2">
      <c r="F386" s="31"/>
      <c r="G386" s="31"/>
      <c r="H386" s="31"/>
    </row>
    <row r="387" spans="6:8" ht="12.75" customHeight="1" x14ac:dyDescent="0.2">
      <c r="F387" s="31"/>
      <c r="G387" s="31"/>
      <c r="H387" s="31"/>
    </row>
    <row r="388" spans="6:8" ht="12.75" customHeight="1" x14ac:dyDescent="0.2">
      <c r="F388" s="31"/>
      <c r="G388" s="31"/>
      <c r="H388" s="31"/>
    </row>
    <row r="389" spans="6:8" ht="12.75" customHeight="1" x14ac:dyDescent="0.2">
      <c r="F389" s="31"/>
      <c r="G389" s="31"/>
      <c r="H389" s="31"/>
    </row>
    <row r="390" spans="6:8" ht="12.75" customHeight="1" x14ac:dyDescent="0.2">
      <c r="F390" s="31"/>
      <c r="G390" s="31"/>
      <c r="H390" s="31"/>
    </row>
    <row r="391" spans="6:8" ht="12.75" customHeight="1" x14ac:dyDescent="0.2">
      <c r="F391" s="31"/>
      <c r="G391" s="31"/>
      <c r="H391" s="31"/>
    </row>
    <row r="392" spans="6:8" ht="12.75" customHeight="1" x14ac:dyDescent="0.2">
      <c r="F392" s="31"/>
      <c r="G392" s="31"/>
      <c r="H392" s="31"/>
    </row>
    <row r="393" spans="6:8" ht="12.75" customHeight="1" x14ac:dyDescent="0.2">
      <c r="F393" s="31"/>
      <c r="G393" s="31"/>
      <c r="H393" s="31"/>
    </row>
    <row r="394" spans="6:8" ht="12.75" customHeight="1" x14ac:dyDescent="0.2">
      <c r="F394" s="31"/>
      <c r="G394" s="31"/>
      <c r="H394" s="31"/>
    </row>
    <row r="395" spans="6:8" ht="12.75" customHeight="1" x14ac:dyDescent="0.2">
      <c r="F395" s="31"/>
      <c r="G395" s="31"/>
      <c r="H395" s="31"/>
    </row>
    <row r="396" spans="6:8" ht="12.75" customHeight="1" x14ac:dyDescent="0.2">
      <c r="F396" s="31"/>
      <c r="G396" s="31"/>
      <c r="H396" s="31"/>
    </row>
    <row r="397" spans="6:8" ht="12.75" customHeight="1" x14ac:dyDescent="0.2">
      <c r="F397" s="31"/>
      <c r="G397" s="31"/>
      <c r="H397" s="31"/>
    </row>
    <row r="398" spans="6:8" ht="12.75" customHeight="1" x14ac:dyDescent="0.2">
      <c r="F398" s="31"/>
      <c r="G398" s="31"/>
      <c r="H398" s="31"/>
    </row>
    <row r="399" spans="6:8" ht="12.75" customHeight="1" x14ac:dyDescent="0.2">
      <c r="F399" s="31"/>
      <c r="G399" s="31"/>
      <c r="H399" s="31"/>
    </row>
    <row r="400" spans="6:8" ht="12.75" customHeight="1" x14ac:dyDescent="0.2">
      <c r="F400" s="31"/>
      <c r="G400" s="31"/>
      <c r="H400" s="31"/>
    </row>
    <row r="401" spans="6:8" ht="12.75" customHeight="1" x14ac:dyDescent="0.2">
      <c r="F401" s="31"/>
      <c r="G401" s="31"/>
      <c r="H401" s="31"/>
    </row>
    <row r="402" spans="6:8" ht="12.75" customHeight="1" x14ac:dyDescent="0.2">
      <c r="F402" s="31"/>
      <c r="G402" s="31"/>
      <c r="H402" s="31"/>
    </row>
    <row r="403" spans="6:8" ht="12.75" customHeight="1" x14ac:dyDescent="0.2">
      <c r="F403" s="31"/>
      <c r="G403" s="31"/>
      <c r="H403" s="31"/>
    </row>
    <row r="404" spans="6:8" ht="12.75" customHeight="1" x14ac:dyDescent="0.2">
      <c r="F404" s="31"/>
      <c r="G404" s="31"/>
      <c r="H404" s="31"/>
    </row>
    <row r="405" spans="6:8" ht="12.75" customHeight="1" x14ac:dyDescent="0.2">
      <c r="F405" s="31"/>
      <c r="G405" s="31"/>
      <c r="H405" s="31"/>
    </row>
    <row r="406" spans="6:8" ht="12.75" customHeight="1" x14ac:dyDescent="0.2">
      <c r="F406" s="31"/>
      <c r="G406" s="31"/>
      <c r="H406" s="31"/>
    </row>
    <row r="407" spans="6:8" ht="12.75" customHeight="1" x14ac:dyDescent="0.2">
      <c r="F407" s="31"/>
      <c r="G407" s="31"/>
      <c r="H407" s="31"/>
    </row>
    <row r="408" spans="6:8" ht="12.75" customHeight="1" x14ac:dyDescent="0.2">
      <c r="F408" s="31"/>
      <c r="G408" s="31"/>
      <c r="H408" s="31"/>
    </row>
    <row r="409" spans="6:8" ht="12.75" customHeight="1" x14ac:dyDescent="0.2">
      <c r="F409" s="31"/>
      <c r="G409" s="31"/>
      <c r="H409" s="31"/>
    </row>
    <row r="410" spans="6:8" ht="12.75" customHeight="1" x14ac:dyDescent="0.2">
      <c r="F410" s="31"/>
      <c r="G410" s="31"/>
      <c r="H410" s="31"/>
    </row>
    <row r="411" spans="6:8" ht="12.75" customHeight="1" x14ac:dyDescent="0.2">
      <c r="F411" s="31"/>
      <c r="G411" s="31"/>
      <c r="H411" s="31"/>
    </row>
    <row r="412" spans="6:8" ht="12.75" customHeight="1" x14ac:dyDescent="0.2">
      <c r="F412" s="31"/>
      <c r="G412" s="31"/>
      <c r="H412" s="31"/>
    </row>
    <row r="413" spans="6:8" ht="12.75" customHeight="1" x14ac:dyDescent="0.2">
      <c r="F413" s="31"/>
      <c r="G413" s="31"/>
      <c r="H413" s="31"/>
    </row>
    <row r="414" spans="6:8" ht="12.75" customHeight="1" x14ac:dyDescent="0.2">
      <c r="F414" s="31"/>
      <c r="G414" s="31"/>
      <c r="H414" s="31"/>
    </row>
    <row r="415" spans="6:8" ht="12.75" customHeight="1" x14ac:dyDescent="0.2">
      <c r="F415" s="31"/>
      <c r="G415" s="31"/>
      <c r="H415" s="31"/>
    </row>
    <row r="416" spans="6:8" ht="12.75" customHeight="1" x14ac:dyDescent="0.2">
      <c r="F416" s="31"/>
      <c r="G416" s="31"/>
      <c r="H416" s="31"/>
    </row>
    <row r="417" spans="6:8" ht="12.75" customHeight="1" x14ac:dyDescent="0.2">
      <c r="F417" s="31"/>
      <c r="G417" s="31"/>
      <c r="H417" s="31"/>
    </row>
    <row r="418" spans="6:8" ht="12.75" customHeight="1" x14ac:dyDescent="0.2">
      <c r="F418" s="31"/>
      <c r="G418" s="31"/>
      <c r="H418" s="31"/>
    </row>
    <row r="419" spans="6:8" ht="12.75" customHeight="1" x14ac:dyDescent="0.2">
      <c r="F419" s="31"/>
      <c r="G419" s="31"/>
      <c r="H419" s="31"/>
    </row>
    <row r="420" spans="6:8" ht="12.75" customHeight="1" x14ac:dyDescent="0.2">
      <c r="F420" s="31"/>
      <c r="G420" s="31"/>
      <c r="H420" s="31"/>
    </row>
    <row r="421" spans="6:8" ht="12.75" customHeight="1" x14ac:dyDescent="0.2">
      <c r="F421" s="31"/>
      <c r="G421" s="31"/>
      <c r="H421" s="31"/>
    </row>
    <row r="422" spans="6:8" ht="12.75" customHeight="1" x14ac:dyDescent="0.2">
      <c r="F422" s="31"/>
      <c r="G422" s="31"/>
      <c r="H422" s="31"/>
    </row>
    <row r="423" spans="6:8" ht="12.75" customHeight="1" x14ac:dyDescent="0.2">
      <c r="F423" s="31"/>
      <c r="G423" s="31"/>
      <c r="H423" s="31"/>
    </row>
    <row r="424" spans="6:8" ht="12.75" customHeight="1" x14ac:dyDescent="0.2">
      <c r="F424" s="31"/>
      <c r="G424" s="31"/>
      <c r="H424" s="31"/>
    </row>
    <row r="425" spans="6:8" ht="12.75" customHeight="1" x14ac:dyDescent="0.2">
      <c r="F425" s="31"/>
      <c r="G425" s="31"/>
      <c r="H425" s="31"/>
    </row>
    <row r="426" spans="6:8" ht="12.75" customHeight="1" x14ac:dyDescent="0.2">
      <c r="F426" s="31"/>
      <c r="G426" s="31"/>
      <c r="H426" s="31"/>
    </row>
    <row r="427" spans="6:8" ht="12.75" customHeight="1" x14ac:dyDescent="0.2">
      <c r="F427" s="31"/>
      <c r="G427" s="31"/>
      <c r="H427" s="31"/>
    </row>
    <row r="428" spans="6:8" ht="12.75" customHeight="1" x14ac:dyDescent="0.2">
      <c r="F428" s="31"/>
      <c r="G428" s="31"/>
      <c r="H428" s="31"/>
    </row>
    <row r="429" spans="6:8" ht="12.75" customHeight="1" x14ac:dyDescent="0.2">
      <c r="F429" s="31"/>
      <c r="G429" s="31"/>
      <c r="H429" s="31"/>
    </row>
    <row r="430" spans="6:8" ht="12.75" customHeight="1" x14ac:dyDescent="0.2">
      <c r="F430" s="31"/>
      <c r="G430" s="31"/>
      <c r="H430" s="31"/>
    </row>
    <row r="431" spans="6:8" ht="12.75" customHeight="1" x14ac:dyDescent="0.2">
      <c r="F431" s="31"/>
      <c r="G431" s="31"/>
      <c r="H431" s="31"/>
    </row>
    <row r="432" spans="6:8" ht="12.75" customHeight="1" x14ac:dyDescent="0.2">
      <c r="F432" s="31"/>
      <c r="G432" s="31"/>
      <c r="H432" s="31"/>
    </row>
    <row r="433" spans="6:8" ht="12.75" customHeight="1" x14ac:dyDescent="0.2">
      <c r="F433" s="31"/>
      <c r="G433" s="31"/>
      <c r="H433" s="31"/>
    </row>
    <row r="434" spans="6:8" ht="12.75" customHeight="1" x14ac:dyDescent="0.2">
      <c r="F434" s="31"/>
      <c r="G434" s="31"/>
      <c r="H434" s="31"/>
    </row>
    <row r="435" spans="6:8" ht="12.75" customHeight="1" x14ac:dyDescent="0.2">
      <c r="F435" s="31"/>
      <c r="G435" s="31"/>
      <c r="H435" s="31"/>
    </row>
    <row r="436" spans="6:8" ht="12.75" customHeight="1" x14ac:dyDescent="0.2">
      <c r="F436" s="31"/>
      <c r="G436" s="31"/>
      <c r="H436" s="31"/>
    </row>
    <row r="437" spans="6:8" ht="12.75" customHeight="1" x14ac:dyDescent="0.2">
      <c r="F437" s="31"/>
      <c r="G437" s="31"/>
      <c r="H437" s="31"/>
    </row>
    <row r="438" spans="6:8" ht="12.75" customHeight="1" x14ac:dyDescent="0.2">
      <c r="F438" s="31"/>
      <c r="G438" s="31"/>
      <c r="H438" s="31"/>
    </row>
    <row r="439" spans="6:8" ht="12.75" customHeight="1" x14ac:dyDescent="0.2">
      <c r="F439" s="31"/>
      <c r="G439" s="31"/>
      <c r="H439" s="31"/>
    </row>
    <row r="440" spans="6:8" ht="12.75" customHeight="1" x14ac:dyDescent="0.2">
      <c r="F440" s="31"/>
      <c r="G440" s="31"/>
      <c r="H440" s="31"/>
    </row>
    <row r="441" spans="6:8" ht="12.75" customHeight="1" x14ac:dyDescent="0.2">
      <c r="F441" s="31"/>
      <c r="G441" s="31"/>
      <c r="H441" s="31"/>
    </row>
    <row r="442" spans="6:8" ht="12.75" customHeight="1" x14ac:dyDescent="0.2">
      <c r="F442" s="31"/>
      <c r="G442" s="31"/>
      <c r="H442" s="31"/>
    </row>
    <row r="443" spans="6:8" ht="12.75" customHeight="1" x14ac:dyDescent="0.2">
      <c r="F443" s="31"/>
      <c r="G443" s="31"/>
      <c r="H443" s="31"/>
    </row>
    <row r="444" spans="6:8" ht="12.75" customHeight="1" x14ac:dyDescent="0.2">
      <c r="F444" s="31"/>
      <c r="G444" s="31"/>
      <c r="H444" s="31"/>
    </row>
    <row r="445" spans="6:8" ht="12.75" customHeight="1" x14ac:dyDescent="0.2">
      <c r="F445" s="31"/>
      <c r="G445" s="31"/>
      <c r="H445" s="31"/>
    </row>
    <row r="446" spans="6:8" ht="12.75" customHeight="1" x14ac:dyDescent="0.2">
      <c r="F446" s="31"/>
      <c r="G446" s="31"/>
      <c r="H446" s="31"/>
    </row>
    <row r="447" spans="6:8" ht="12.75" customHeight="1" x14ac:dyDescent="0.2">
      <c r="F447" s="31"/>
      <c r="G447" s="31"/>
      <c r="H447" s="31"/>
    </row>
    <row r="448" spans="6:8" ht="12.75" customHeight="1" x14ac:dyDescent="0.2">
      <c r="F448" s="31"/>
      <c r="G448" s="31"/>
      <c r="H448" s="31"/>
    </row>
    <row r="449" spans="6:8" ht="12.75" customHeight="1" x14ac:dyDescent="0.2">
      <c r="F449" s="31"/>
      <c r="G449" s="31"/>
      <c r="H449" s="31"/>
    </row>
    <row r="450" spans="6:8" ht="12.75" customHeight="1" x14ac:dyDescent="0.2">
      <c r="F450" s="31"/>
      <c r="G450" s="31"/>
      <c r="H450" s="31"/>
    </row>
    <row r="451" spans="6:8" ht="12.75" customHeight="1" x14ac:dyDescent="0.2">
      <c r="F451" s="31"/>
      <c r="G451" s="31"/>
      <c r="H451" s="31"/>
    </row>
    <row r="452" spans="6:8" ht="12.75" customHeight="1" x14ac:dyDescent="0.2">
      <c r="F452" s="31"/>
      <c r="G452" s="31"/>
      <c r="H452" s="31"/>
    </row>
    <row r="453" spans="6:8" ht="12.75" customHeight="1" x14ac:dyDescent="0.2">
      <c r="F453" s="31"/>
      <c r="G453" s="31"/>
      <c r="H453" s="31"/>
    </row>
    <row r="454" spans="6:8" ht="12.75" customHeight="1" x14ac:dyDescent="0.2">
      <c r="F454" s="31"/>
      <c r="G454" s="31"/>
      <c r="H454" s="31"/>
    </row>
    <row r="455" spans="6:8" ht="12.75" customHeight="1" x14ac:dyDescent="0.2">
      <c r="F455" s="31"/>
      <c r="G455" s="31"/>
      <c r="H455" s="31"/>
    </row>
    <row r="456" spans="6:8" ht="12.75" customHeight="1" x14ac:dyDescent="0.2">
      <c r="F456" s="31"/>
      <c r="G456" s="31"/>
      <c r="H456" s="31"/>
    </row>
    <row r="457" spans="6:8" ht="12.75" customHeight="1" x14ac:dyDescent="0.2">
      <c r="F457" s="31"/>
      <c r="G457" s="31"/>
      <c r="H457" s="31"/>
    </row>
    <row r="458" spans="6:8" ht="12.75" customHeight="1" x14ac:dyDescent="0.2">
      <c r="F458" s="31"/>
      <c r="G458" s="31"/>
      <c r="H458" s="31"/>
    </row>
    <row r="459" spans="6:8" ht="12.75" customHeight="1" x14ac:dyDescent="0.2">
      <c r="F459" s="31"/>
      <c r="G459" s="31"/>
      <c r="H459" s="31"/>
    </row>
    <row r="460" spans="6:8" ht="12.75" customHeight="1" x14ac:dyDescent="0.2">
      <c r="F460" s="31"/>
      <c r="G460" s="31"/>
      <c r="H460" s="31"/>
    </row>
    <row r="461" spans="6:8" ht="12.75" customHeight="1" x14ac:dyDescent="0.2">
      <c r="F461" s="31"/>
      <c r="G461" s="31"/>
      <c r="H461" s="31"/>
    </row>
    <row r="462" spans="6:8" ht="12.75" customHeight="1" x14ac:dyDescent="0.2">
      <c r="F462" s="31"/>
      <c r="G462" s="31"/>
      <c r="H462" s="31"/>
    </row>
    <row r="463" spans="6:8" ht="12.75" customHeight="1" x14ac:dyDescent="0.2">
      <c r="F463" s="31"/>
      <c r="G463" s="31"/>
      <c r="H463" s="31"/>
    </row>
    <row r="464" spans="6:8" ht="12.75" customHeight="1" x14ac:dyDescent="0.2">
      <c r="F464" s="31"/>
      <c r="G464" s="31"/>
      <c r="H464" s="31"/>
    </row>
    <row r="465" spans="6:8" ht="12.75" customHeight="1" x14ac:dyDescent="0.2">
      <c r="F465" s="31"/>
      <c r="G465" s="31"/>
      <c r="H465" s="31"/>
    </row>
    <row r="466" spans="6:8" ht="12.75" customHeight="1" x14ac:dyDescent="0.2">
      <c r="F466" s="31"/>
      <c r="G466" s="31"/>
      <c r="H466" s="31"/>
    </row>
    <row r="467" spans="6:8" ht="12.75" customHeight="1" x14ac:dyDescent="0.2">
      <c r="F467" s="31"/>
      <c r="G467" s="31"/>
      <c r="H467" s="31"/>
    </row>
    <row r="468" spans="6:8" ht="12.75" customHeight="1" x14ac:dyDescent="0.2">
      <c r="F468" s="31"/>
      <c r="G468" s="31"/>
      <c r="H468" s="31"/>
    </row>
    <row r="469" spans="6:8" ht="12.75" customHeight="1" x14ac:dyDescent="0.2">
      <c r="F469" s="31"/>
      <c r="G469" s="31"/>
      <c r="H469" s="31"/>
    </row>
    <row r="470" spans="6:8" ht="12.75" customHeight="1" x14ac:dyDescent="0.2">
      <c r="F470" s="31"/>
      <c r="G470" s="31"/>
      <c r="H470" s="31"/>
    </row>
    <row r="471" spans="6:8" ht="12.75" customHeight="1" x14ac:dyDescent="0.2">
      <c r="F471" s="31"/>
      <c r="G471" s="31"/>
      <c r="H471" s="31"/>
    </row>
    <row r="472" spans="6:8" ht="12.75" customHeight="1" x14ac:dyDescent="0.2">
      <c r="F472" s="31"/>
      <c r="G472" s="31"/>
      <c r="H472" s="31"/>
    </row>
    <row r="473" spans="6:8" ht="12.75" customHeight="1" x14ac:dyDescent="0.2">
      <c r="F473" s="31"/>
      <c r="G473" s="31"/>
      <c r="H473" s="31"/>
    </row>
    <row r="474" spans="6:8" ht="12.75" customHeight="1" x14ac:dyDescent="0.2">
      <c r="F474" s="31"/>
      <c r="G474" s="31"/>
      <c r="H474" s="31"/>
    </row>
    <row r="475" spans="6:8" ht="12.75" customHeight="1" x14ac:dyDescent="0.2">
      <c r="F475" s="31"/>
      <c r="G475" s="31"/>
      <c r="H475" s="31"/>
    </row>
    <row r="476" spans="6:8" ht="12.75" customHeight="1" x14ac:dyDescent="0.2">
      <c r="F476" s="31"/>
      <c r="G476" s="31"/>
      <c r="H476" s="31"/>
    </row>
    <row r="477" spans="6:8" ht="12.75" customHeight="1" x14ac:dyDescent="0.2">
      <c r="F477" s="31"/>
      <c r="G477" s="31"/>
      <c r="H477" s="31"/>
    </row>
    <row r="478" spans="6:8" ht="12.75" customHeight="1" x14ac:dyDescent="0.2">
      <c r="F478" s="31"/>
      <c r="G478" s="31"/>
      <c r="H478" s="31"/>
    </row>
    <row r="479" spans="6:8" ht="12.75" customHeight="1" x14ac:dyDescent="0.2">
      <c r="F479" s="31"/>
      <c r="G479" s="31"/>
      <c r="H479" s="31"/>
    </row>
    <row r="480" spans="6:8" ht="12.75" customHeight="1" x14ac:dyDescent="0.2">
      <c r="F480" s="31"/>
      <c r="G480" s="31"/>
      <c r="H480" s="31"/>
    </row>
    <row r="481" spans="6:8" ht="12.75" customHeight="1" x14ac:dyDescent="0.2">
      <c r="F481" s="31"/>
      <c r="G481" s="31"/>
      <c r="H481" s="31"/>
    </row>
    <row r="482" spans="6:8" ht="12.75" customHeight="1" x14ac:dyDescent="0.2">
      <c r="F482" s="31"/>
      <c r="G482" s="31"/>
      <c r="H482" s="31"/>
    </row>
    <row r="483" spans="6:8" ht="12.75" customHeight="1" x14ac:dyDescent="0.2">
      <c r="F483" s="31"/>
      <c r="G483" s="31"/>
      <c r="H483" s="31"/>
    </row>
    <row r="484" spans="6:8" ht="12.75" customHeight="1" x14ac:dyDescent="0.2">
      <c r="F484" s="31"/>
      <c r="G484" s="31"/>
      <c r="H484" s="31"/>
    </row>
    <row r="485" spans="6:8" ht="12.75" customHeight="1" x14ac:dyDescent="0.2">
      <c r="F485" s="31"/>
      <c r="G485" s="31"/>
      <c r="H485" s="31"/>
    </row>
    <row r="486" spans="6:8" ht="12.75" customHeight="1" x14ac:dyDescent="0.2">
      <c r="F486" s="31"/>
      <c r="G486" s="31"/>
      <c r="H486" s="31"/>
    </row>
    <row r="487" spans="6:8" ht="12.75" customHeight="1" x14ac:dyDescent="0.2">
      <c r="F487" s="31"/>
      <c r="G487" s="31"/>
      <c r="H487" s="31"/>
    </row>
    <row r="488" spans="6:8" ht="12.75" customHeight="1" x14ac:dyDescent="0.2">
      <c r="F488" s="31"/>
      <c r="G488" s="31"/>
      <c r="H488" s="31"/>
    </row>
    <row r="489" spans="6:8" ht="12.75" customHeight="1" x14ac:dyDescent="0.2">
      <c r="F489" s="31"/>
      <c r="G489" s="31"/>
      <c r="H489" s="31"/>
    </row>
    <row r="490" spans="6:8" ht="12.75" customHeight="1" x14ac:dyDescent="0.2">
      <c r="F490" s="31"/>
      <c r="G490" s="31"/>
      <c r="H490" s="31"/>
    </row>
    <row r="491" spans="6:8" ht="12.75" customHeight="1" x14ac:dyDescent="0.2">
      <c r="F491" s="31"/>
      <c r="G491" s="31"/>
      <c r="H491" s="31"/>
    </row>
    <row r="492" spans="6:8" ht="12.75" customHeight="1" x14ac:dyDescent="0.2">
      <c r="F492" s="31"/>
      <c r="G492" s="31"/>
      <c r="H492" s="31"/>
    </row>
    <row r="493" spans="6:8" ht="12.75" customHeight="1" x14ac:dyDescent="0.2">
      <c r="F493" s="31"/>
      <c r="G493" s="31"/>
      <c r="H493" s="31"/>
    </row>
    <row r="494" spans="6:8" ht="12.75" customHeight="1" x14ac:dyDescent="0.2">
      <c r="F494" s="31"/>
      <c r="G494" s="31"/>
      <c r="H494" s="31"/>
    </row>
    <row r="495" spans="6:8" ht="12.75" customHeight="1" x14ac:dyDescent="0.2">
      <c r="F495" s="31"/>
      <c r="G495" s="31"/>
      <c r="H495" s="31"/>
    </row>
    <row r="496" spans="6:8" ht="12.75" customHeight="1" x14ac:dyDescent="0.2">
      <c r="F496" s="31"/>
      <c r="G496" s="31"/>
      <c r="H496" s="31"/>
    </row>
    <row r="497" spans="6:8" ht="12.75" customHeight="1" x14ac:dyDescent="0.2">
      <c r="F497" s="31"/>
      <c r="G497" s="31"/>
      <c r="H497" s="31"/>
    </row>
    <row r="498" spans="6:8" ht="12.75" customHeight="1" x14ac:dyDescent="0.2">
      <c r="F498" s="31"/>
      <c r="G498" s="31"/>
      <c r="H498" s="31"/>
    </row>
    <row r="499" spans="6:8" ht="12.75" customHeight="1" x14ac:dyDescent="0.2">
      <c r="F499" s="31"/>
      <c r="G499" s="31"/>
      <c r="H499" s="31"/>
    </row>
    <row r="500" spans="6:8" ht="12.75" customHeight="1" x14ac:dyDescent="0.2">
      <c r="F500" s="31"/>
      <c r="G500" s="31"/>
      <c r="H500" s="31"/>
    </row>
    <row r="501" spans="6:8" ht="12.75" customHeight="1" x14ac:dyDescent="0.2">
      <c r="F501" s="31"/>
      <c r="G501" s="31"/>
      <c r="H501" s="31"/>
    </row>
    <row r="502" spans="6:8" ht="12.75" customHeight="1" x14ac:dyDescent="0.2">
      <c r="F502" s="31"/>
      <c r="G502" s="31"/>
      <c r="H502" s="31"/>
    </row>
    <row r="503" spans="6:8" ht="12.75" customHeight="1" x14ac:dyDescent="0.2">
      <c r="F503" s="31"/>
      <c r="G503" s="31"/>
      <c r="H503" s="31"/>
    </row>
    <row r="504" spans="6:8" ht="12.75" customHeight="1" x14ac:dyDescent="0.2">
      <c r="F504" s="31"/>
      <c r="G504" s="31"/>
      <c r="H504" s="31"/>
    </row>
    <row r="505" spans="6:8" ht="12.75" customHeight="1" x14ac:dyDescent="0.2">
      <c r="F505" s="31"/>
      <c r="G505" s="31"/>
      <c r="H505" s="31"/>
    </row>
    <row r="506" spans="6:8" ht="12.75" customHeight="1" x14ac:dyDescent="0.2">
      <c r="F506" s="31"/>
      <c r="G506" s="31"/>
      <c r="H506" s="31"/>
    </row>
    <row r="507" spans="6:8" ht="12.75" customHeight="1" x14ac:dyDescent="0.2">
      <c r="F507" s="31"/>
      <c r="G507" s="31"/>
      <c r="H507" s="31"/>
    </row>
    <row r="508" spans="6:8" ht="12.75" customHeight="1" x14ac:dyDescent="0.2">
      <c r="F508" s="31"/>
      <c r="G508" s="31"/>
      <c r="H508" s="31"/>
    </row>
    <row r="509" spans="6:8" ht="12.75" customHeight="1" x14ac:dyDescent="0.2">
      <c r="F509" s="31"/>
      <c r="G509" s="31"/>
      <c r="H509" s="31"/>
    </row>
    <row r="510" spans="6:8" ht="12.75" customHeight="1" x14ac:dyDescent="0.2">
      <c r="F510" s="31"/>
      <c r="G510" s="31"/>
      <c r="H510" s="31"/>
    </row>
    <row r="511" spans="6:8" ht="12.75" customHeight="1" x14ac:dyDescent="0.2">
      <c r="F511" s="31"/>
      <c r="G511" s="31"/>
      <c r="H511" s="31"/>
    </row>
    <row r="512" spans="6:8" ht="12.75" customHeight="1" x14ac:dyDescent="0.2">
      <c r="F512" s="31"/>
      <c r="G512" s="31"/>
      <c r="H512" s="31"/>
    </row>
    <row r="513" spans="6:8" ht="12.75" customHeight="1" x14ac:dyDescent="0.2">
      <c r="F513" s="31"/>
      <c r="G513" s="31"/>
      <c r="H513" s="31"/>
    </row>
    <row r="514" spans="6:8" ht="12.75" customHeight="1" x14ac:dyDescent="0.2">
      <c r="F514" s="31"/>
      <c r="G514" s="31"/>
      <c r="H514" s="31"/>
    </row>
    <row r="515" spans="6:8" ht="12.75" customHeight="1" x14ac:dyDescent="0.2">
      <c r="F515" s="31"/>
      <c r="G515" s="31"/>
      <c r="H515" s="31"/>
    </row>
    <row r="516" spans="6:8" ht="12.75" customHeight="1" x14ac:dyDescent="0.2">
      <c r="F516" s="31"/>
      <c r="G516" s="31"/>
      <c r="H516" s="31"/>
    </row>
    <row r="517" spans="6:8" ht="12.75" customHeight="1" x14ac:dyDescent="0.2">
      <c r="F517" s="31"/>
      <c r="G517" s="31"/>
      <c r="H517" s="31"/>
    </row>
    <row r="518" spans="6:8" ht="12.75" customHeight="1" x14ac:dyDescent="0.2">
      <c r="F518" s="31"/>
      <c r="G518" s="31"/>
      <c r="H518" s="31"/>
    </row>
    <row r="519" spans="6:8" ht="12.75" customHeight="1" x14ac:dyDescent="0.2">
      <c r="F519" s="31"/>
      <c r="G519" s="31"/>
      <c r="H519" s="31"/>
    </row>
    <row r="520" spans="6:8" ht="12.75" customHeight="1" x14ac:dyDescent="0.2">
      <c r="F520" s="31"/>
      <c r="G520" s="31"/>
      <c r="H520" s="31"/>
    </row>
    <row r="521" spans="6:8" ht="12.75" customHeight="1" x14ac:dyDescent="0.2">
      <c r="F521" s="31"/>
      <c r="G521" s="31"/>
      <c r="H521" s="31"/>
    </row>
    <row r="522" spans="6:8" ht="12.75" customHeight="1" x14ac:dyDescent="0.2">
      <c r="F522" s="31"/>
      <c r="G522" s="31"/>
      <c r="H522" s="31"/>
    </row>
    <row r="523" spans="6:8" ht="12.75" customHeight="1" x14ac:dyDescent="0.2">
      <c r="F523" s="31"/>
      <c r="G523" s="31"/>
      <c r="H523" s="31"/>
    </row>
    <row r="524" spans="6:8" ht="12.75" customHeight="1" x14ac:dyDescent="0.2">
      <c r="F524" s="31"/>
      <c r="G524" s="31"/>
      <c r="H524" s="31"/>
    </row>
    <row r="525" spans="6:8" ht="12.75" customHeight="1" x14ac:dyDescent="0.2">
      <c r="F525" s="31"/>
      <c r="G525" s="31"/>
      <c r="H525" s="31"/>
    </row>
    <row r="526" spans="6:8" ht="12.75" customHeight="1" x14ac:dyDescent="0.2">
      <c r="F526" s="31"/>
      <c r="G526" s="31"/>
      <c r="H526" s="31"/>
    </row>
    <row r="527" spans="6:8" ht="12.75" customHeight="1" x14ac:dyDescent="0.2">
      <c r="F527" s="31"/>
      <c r="G527" s="31"/>
      <c r="H527" s="31"/>
    </row>
    <row r="528" spans="6:8" ht="12.75" customHeight="1" x14ac:dyDescent="0.2">
      <c r="F528" s="31"/>
      <c r="G528" s="31"/>
      <c r="H528" s="31"/>
    </row>
    <row r="529" spans="6:8" ht="12.75" customHeight="1" x14ac:dyDescent="0.2">
      <c r="F529" s="31"/>
      <c r="G529" s="31"/>
      <c r="H529" s="31"/>
    </row>
    <row r="530" spans="6:8" ht="12.75" customHeight="1" x14ac:dyDescent="0.2">
      <c r="F530" s="31"/>
      <c r="G530" s="31"/>
      <c r="H530" s="31"/>
    </row>
    <row r="531" spans="6:8" ht="12.75" customHeight="1" x14ac:dyDescent="0.2">
      <c r="F531" s="31"/>
      <c r="G531" s="31"/>
      <c r="H531" s="31"/>
    </row>
    <row r="532" spans="6:8" ht="12.75" customHeight="1" x14ac:dyDescent="0.2">
      <c r="F532" s="31"/>
      <c r="G532" s="31"/>
      <c r="H532" s="31"/>
    </row>
    <row r="533" spans="6:8" ht="12.75" customHeight="1" x14ac:dyDescent="0.2">
      <c r="F533" s="31"/>
      <c r="G533" s="31"/>
      <c r="H533" s="31"/>
    </row>
    <row r="534" spans="6:8" ht="12.75" customHeight="1" x14ac:dyDescent="0.2">
      <c r="F534" s="31"/>
      <c r="G534" s="31"/>
      <c r="H534" s="31"/>
    </row>
    <row r="535" spans="6:8" ht="12.75" customHeight="1" x14ac:dyDescent="0.2">
      <c r="F535" s="31"/>
      <c r="G535" s="31"/>
      <c r="H535" s="31"/>
    </row>
    <row r="536" spans="6:8" ht="12.75" customHeight="1" x14ac:dyDescent="0.2">
      <c r="F536" s="31"/>
      <c r="G536" s="31"/>
      <c r="H536" s="31"/>
    </row>
    <row r="537" spans="6:8" ht="12.75" customHeight="1" x14ac:dyDescent="0.2">
      <c r="F537" s="31"/>
      <c r="G537" s="31"/>
      <c r="H537" s="31"/>
    </row>
    <row r="538" spans="6:8" ht="12.75" customHeight="1" x14ac:dyDescent="0.2">
      <c r="F538" s="31"/>
      <c r="G538" s="31"/>
      <c r="H538" s="31"/>
    </row>
    <row r="539" spans="6:8" ht="12.75" customHeight="1" x14ac:dyDescent="0.2">
      <c r="F539" s="31"/>
      <c r="G539" s="31"/>
      <c r="H539" s="31"/>
    </row>
    <row r="540" spans="6:8" ht="12.75" customHeight="1" x14ac:dyDescent="0.2">
      <c r="F540" s="31"/>
      <c r="G540" s="31"/>
      <c r="H540" s="31"/>
    </row>
    <row r="541" spans="6:8" ht="12.75" customHeight="1" x14ac:dyDescent="0.2">
      <c r="F541" s="31"/>
      <c r="G541" s="31"/>
      <c r="H541" s="31"/>
    </row>
    <row r="542" spans="6:8" ht="12.75" customHeight="1" x14ac:dyDescent="0.2">
      <c r="F542" s="31"/>
      <c r="G542" s="31"/>
      <c r="H542" s="31"/>
    </row>
    <row r="543" spans="6:8" ht="12.75" customHeight="1" x14ac:dyDescent="0.2">
      <c r="F543" s="31"/>
      <c r="G543" s="31"/>
      <c r="H543" s="31"/>
    </row>
    <row r="544" spans="6:8" ht="12.75" customHeight="1" x14ac:dyDescent="0.2">
      <c r="F544" s="31"/>
      <c r="G544" s="31"/>
      <c r="H544" s="31"/>
    </row>
    <row r="545" spans="6:8" ht="12.75" customHeight="1" x14ac:dyDescent="0.2">
      <c r="F545" s="31"/>
      <c r="G545" s="31"/>
      <c r="H545" s="31"/>
    </row>
    <row r="546" spans="6:8" ht="12.75" customHeight="1" x14ac:dyDescent="0.2">
      <c r="F546" s="31"/>
      <c r="G546" s="31"/>
      <c r="H546" s="31"/>
    </row>
    <row r="547" spans="6:8" ht="12.75" customHeight="1" x14ac:dyDescent="0.2">
      <c r="F547" s="31"/>
      <c r="G547" s="31"/>
      <c r="H547" s="31"/>
    </row>
    <row r="548" spans="6:8" ht="12.75" customHeight="1" x14ac:dyDescent="0.2">
      <c r="F548" s="31"/>
      <c r="G548" s="31"/>
      <c r="H548" s="31"/>
    </row>
    <row r="549" spans="6:8" ht="12.75" customHeight="1" x14ac:dyDescent="0.2">
      <c r="F549" s="31"/>
      <c r="G549" s="31"/>
      <c r="H549" s="31"/>
    </row>
    <row r="550" spans="6:8" ht="12.75" customHeight="1" x14ac:dyDescent="0.2">
      <c r="F550" s="31"/>
      <c r="G550" s="31"/>
      <c r="H550" s="31"/>
    </row>
    <row r="551" spans="6:8" ht="12.75" customHeight="1" x14ac:dyDescent="0.2">
      <c r="F551" s="31"/>
      <c r="G551" s="31"/>
      <c r="H551" s="31"/>
    </row>
    <row r="552" spans="6:8" ht="12.75" customHeight="1" x14ac:dyDescent="0.2">
      <c r="F552" s="31"/>
      <c r="G552" s="31"/>
      <c r="H552" s="31"/>
    </row>
    <row r="553" spans="6:8" ht="12.75" customHeight="1" x14ac:dyDescent="0.2">
      <c r="F553" s="31"/>
      <c r="G553" s="31"/>
      <c r="H553" s="31"/>
    </row>
    <row r="554" spans="6:8" ht="12.75" customHeight="1" x14ac:dyDescent="0.2">
      <c r="F554" s="31"/>
      <c r="G554" s="31"/>
      <c r="H554" s="31"/>
    </row>
    <row r="555" spans="6:8" ht="12.75" customHeight="1" x14ac:dyDescent="0.2">
      <c r="F555" s="31"/>
      <c r="G555" s="31"/>
      <c r="H555" s="31"/>
    </row>
    <row r="556" spans="6:8" ht="12.75" customHeight="1" x14ac:dyDescent="0.2">
      <c r="F556" s="31"/>
      <c r="G556" s="31"/>
      <c r="H556" s="31"/>
    </row>
    <row r="557" spans="6:8" ht="12.75" customHeight="1" x14ac:dyDescent="0.2">
      <c r="F557" s="31"/>
      <c r="G557" s="31"/>
      <c r="H557" s="31"/>
    </row>
    <row r="558" spans="6:8" ht="12.75" customHeight="1" x14ac:dyDescent="0.2">
      <c r="F558" s="31"/>
      <c r="G558" s="31"/>
      <c r="H558" s="31"/>
    </row>
    <row r="559" spans="6:8" ht="12.75" customHeight="1" x14ac:dyDescent="0.2">
      <c r="F559" s="31"/>
      <c r="G559" s="31"/>
      <c r="H559" s="31"/>
    </row>
    <row r="560" spans="6:8" ht="12.75" customHeight="1" x14ac:dyDescent="0.2">
      <c r="F560" s="31"/>
      <c r="G560" s="31"/>
      <c r="H560" s="31"/>
    </row>
    <row r="561" spans="6:8" ht="12.75" customHeight="1" x14ac:dyDescent="0.2">
      <c r="F561" s="31"/>
      <c r="G561" s="31"/>
      <c r="H561" s="31"/>
    </row>
    <row r="562" spans="6:8" ht="12.75" customHeight="1" x14ac:dyDescent="0.2">
      <c r="F562" s="31"/>
      <c r="G562" s="31"/>
      <c r="H562" s="31"/>
    </row>
    <row r="563" spans="6:8" ht="12.75" customHeight="1" x14ac:dyDescent="0.2">
      <c r="F563" s="31"/>
      <c r="G563" s="31"/>
      <c r="H563" s="31"/>
    </row>
    <row r="564" spans="6:8" ht="12.75" customHeight="1" x14ac:dyDescent="0.2">
      <c r="F564" s="31"/>
      <c r="G564" s="31"/>
      <c r="H564" s="31"/>
    </row>
    <row r="565" spans="6:8" ht="12.75" customHeight="1" x14ac:dyDescent="0.2">
      <c r="F565" s="31"/>
      <c r="G565" s="31"/>
      <c r="H565" s="31"/>
    </row>
    <row r="566" spans="6:8" ht="12.75" customHeight="1" x14ac:dyDescent="0.2">
      <c r="F566" s="31"/>
      <c r="G566" s="31"/>
      <c r="H566" s="31"/>
    </row>
    <row r="567" spans="6:8" ht="12.75" customHeight="1" x14ac:dyDescent="0.2">
      <c r="F567" s="31"/>
      <c r="G567" s="31"/>
      <c r="H567" s="31"/>
    </row>
    <row r="568" spans="6:8" ht="12.75" customHeight="1" x14ac:dyDescent="0.2">
      <c r="F568" s="31"/>
      <c r="G568" s="31"/>
      <c r="H568" s="31"/>
    </row>
    <row r="569" spans="6:8" ht="12.75" customHeight="1" x14ac:dyDescent="0.2">
      <c r="F569" s="31"/>
      <c r="G569" s="31"/>
      <c r="H569" s="31"/>
    </row>
    <row r="570" spans="6:8" ht="12.75" customHeight="1" x14ac:dyDescent="0.2">
      <c r="F570" s="31"/>
      <c r="G570" s="31"/>
      <c r="H570" s="31"/>
    </row>
    <row r="571" spans="6:8" ht="12.75" customHeight="1" x14ac:dyDescent="0.2">
      <c r="F571" s="31"/>
      <c r="G571" s="31"/>
      <c r="H571" s="31"/>
    </row>
    <row r="572" spans="6:8" ht="12.75" customHeight="1" x14ac:dyDescent="0.2">
      <c r="F572" s="31"/>
      <c r="G572" s="31"/>
      <c r="H572" s="31"/>
    </row>
    <row r="573" spans="6:8" ht="12.75" customHeight="1" x14ac:dyDescent="0.2">
      <c r="F573" s="31"/>
      <c r="G573" s="31"/>
      <c r="H573" s="31"/>
    </row>
    <row r="574" spans="6:8" ht="12.75" customHeight="1" x14ac:dyDescent="0.2">
      <c r="F574" s="31"/>
      <c r="G574" s="31"/>
      <c r="H574" s="31"/>
    </row>
    <row r="575" spans="6:8" ht="12.75" customHeight="1" x14ac:dyDescent="0.2">
      <c r="F575" s="31"/>
      <c r="G575" s="31"/>
      <c r="H575" s="31"/>
    </row>
    <row r="576" spans="6:8" ht="12.75" customHeight="1" x14ac:dyDescent="0.2">
      <c r="F576" s="31"/>
      <c r="G576" s="31"/>
      <c r="H576" s="31"/>
    </row>
    <row r="577" spans="6:8" ht="12.75" customHeight="1" x14ac:dyDescent="0.2">
      <c r="F577" s="31"/>
      <c r="G577" s="31"/>
      <c r="H577" s="31"/>
    </row>
    <row r="578" spans="6:8" ht="12.75" customHeight="1" x14ac:dyDescent="0.2">
      <c r="F578" s="31"/>
      <c r="G578" s="31"/>
      <c r="H578" s="31"/>
    </row>
    <row r="579" spans="6:8" ht="12.75" customHeight="1" x14ac:dyDescent="0.2">
      <c r="F579" s="31"/>
      <c r="G579" s="31"/>
      <c r="H579" s="31"/>
    </row>
    <row r="580" spans="6:8" ht="12.75" customHeight="1" x14ac:dyDescent="0.2">
      <c r="F580" s="31"/>
      <c r="G580" s="31"/>
      <c r="H580" s="31"/>
    </row>
    <row r="581" spans="6:8" ht="12.75" customHeight="1" x14ac:dyDescent="0.2">
      <c r="F581" s="31"/>
      <c r="G581" s="31"/>
      <c r="H581" s="31"/>
    </row>
    <row r="582" spans="6:8" ht="12.75" customHeight="1" x14ac:dyDescent="0.2">
      <c r="F582" s="31"/>
      <c r="G582" s="31"/>
      <c r="H582" s="31"/>
    </row>
    <row r="583" spans="6:8" ht="12.75" customHeight="1" x14ac:dyDescent="0.2">
      <c r="F583" s="31"/>
      <c r="G583" s="31"/>
      <c r="H583" s="31"/>
    </row>
    <row r="584" spans="6:8" ht="12.75" customHeight="1" x14ac:dyDescent="0.2">
      <c r="F584" s="31"/>
      <c r="G584" s="31"/>
      <c r="H584" s="31"/>
    </row>
    <row r="585" spans="6:8" ht="12.75" customHeight="1" x14ac:dyDescent="0.2">
      <c r="F585" s="31"/>
      <c r="G585" s="31"/>
      <c r="H585" s="31"/>
    </row>
    <row r="586" spans="6:8" ht="12.75" customHeight="1" x14ac:dyDescent="0.2">
      <c r="F586" s="31"/>
      <c r="G586" s="31"/>
      <c r="H586" s="31"/>
    </row>
    <row r="587" spans="6:8" ht="12.75" customHeight="1" x14ac:dyDescent="0.2">
      <c r="F587" s="31"/>
      <c r="G587" s="31"/>
      <c r="H587" s="31"/>
    </row>
    <row r="588" spans="6:8" ht="12.75" customHeight="1" x14ac:dyDescent="0.2">
      <c r="F588" s="31"/>
      <c r="G588" s="31"/>
      <c r="H588" s="31"/>
    </row>
    <row r="589" spans="6:8" ht="12.75" customHeight="1" x14ac:dyDescent="0.2">
      <c r="F589" s="31"/>
      <c r="G589" s="31"/>
      <c r="H589" s="31"/>
    </row>
    <row r="590" spans="6:8" ht="12.75" customHeight="1" x14ac:dyDescent="0.2">
      <c r="F590" s="31"/>
      <c r="G590" s="31"/>
      <c r="H590" s="31"/>
    </row>
    <row r="591" spans="6:8" ht="12.75" customHeight="1" x14ac:dyDescent="0.2">
      <c r="F591" s="31"/>
      <c r="G591" s="31"/>
      <c r="H591" s="31"/>
    </row>
    <row r="592" spans="6:8" ht="12.75" customHeight="1" x14ac:dyDescent="0.2">
      <c r="F592" s="31"/>
      <c r="G592" s="31"/>
      <c r="H592" s="31"/>
    </row>
    <row r="593" spans="6:8" ht="12.75" customHeight="1" x14ac:dyDescent="0.2">
      <c r="F593" s="31"/>
      <c r="G593" s="31"/>
      <c r="H593" s="31"/>
    </row>
    <row r="594" spans="6:8" ht="12.75" customHeight="1" x14ac:dyDescent="0.2">
      <c r="F594" s="31"/>
      <c r="G594" s="31"/>
      <c r="H594" s="31"/>
    </row>
    <row r="595" spans="6:8" ht="12.75" customHeight="1" x14ac:dyDescent="0.2">
      <c r="F595" s="31"/>
      <c r="G595" s="31"/>
      <c r="H595" s="31"/>
    </row>
    <row r="596" spans="6:8" ht="12.75" customHeight="1" x14ac:dyDescent="0.2">
      <c r="F596" s="31"/>
      <c r="G596" s="31"/>
      <c r="H596" s="31"/>
    </row>
    <row r="597" spans="6:8" ht="12.75" customHeight="1" x14ac:dyDescent="0.2">
      <c r="F597" s="31"/>
      <c r="G597" s="31"/>
      <c r="H597" s="31"/>
    </row>
    <row r="598" spans="6:8" ht="12.75" customHeight="1" x14ac:dyDescent="0.2">
      <c r="F598" s="31"/>
      <c r="G598" s="31"/>
      <c r="H598" s="31"/>
    </row>
    <row r="599" spans="6:8" ht="12.75" customHeight="1" x14ac:dyDescent="0.2">
      <c r="F599" s="31"/>
      <c r="G599" s="31"/>
      <c r="H599" s="31"/>
    </row>
    <row r="600" spans="6:8" ht="12.75" customHeight="1" x14ac:dyDescent="0.2">
      <c r="F600" s="31"/>
      <c r="G600" s="31"/>
      <c r="H600" s="31"/>
    </row>
    <row r="601" spans="6:8" ht="12.75" customHeight="1" x14ac:dyDescent="0.2">
      <c r="F601" s="31"/>
      <c r="G601" s="31"/>
      <c r="H601" s="31"/>
    </row>
    <row r="602" spans="6:8" ht="12.75" customHeight="1" x14ac:dyDescent="0.2">
      <c r="F602" s="31"/>
      <c r="G602" s="31"/>
      <c r="H602" s="31"/>
    </row>
    <row r="603" spans="6:8" ht="12.75" customHeight="1" x14ac:dyDescent="0.2">
      <c r="F603" s="31"/>
      <c r="G603" s="31"/>
      <c r="H603" s="31"/>
    </row>
    <row r="604" spans="6:8" ht="12.75" customHeight="1" x14ac:dyDescent="0.2">
      <c r="F604" s="31"/>
      <c r="G604" s="31"/>
      <c r="H604" s="31"/>
    </row>
    <row r="605" spans="6:8" ht="12.75" customHeight="1" x14ac:dyDescent="0.2">
      <c r="F605" s="31"/>
      <c r="G605" s="31"/>
      <c r="H605" s="31"/>
    </row>
    <row r="606" spans="6:8" ht="12.75" customHeight="1" x14ac:dyDescent="0.2">
      <c r="F606" s="31"/>
      <c r="G606" s="31"/>
      <c r="H606" s="31"/>
    </row>
    <row r="607" spans="6:8" ht="12.75" customHeight="1" x14ac:dyDescent="0.2">
      <c r="F607" s="31"/>
      <c r="G607" s="31"/>
      <c r="H607" s="31"/>
    </row>
    <row r="608" spans="6:8" ht="12.75" customHeight="1" x14ac:dyDescent="0.2">
      <c r="F608" s="31"/>
      <c r="G608" s="31"/>
      <c r="H608" s="31"/>
    </row>
    <row r="609" spans="6:8" ht="12.75" customHeight="1" x14ac:dyDescent="0.2">
      <c r="F609" s="31"/>
      <c r="G609" s="31"/>
      <c r="H609" s="31"/>
    </row>
    <row r="610" spans="6:8" ht="12.75" customHeight="1" x14ac:dyDescent="0.2">
      <c r="F610" s="31"/>
      <c r="G610" s="31"/>
      <c r="H610" s="31"/>
    </row>
    <row r="611" spans="6:8" ht="12.75" customHeight="1" x14ac:dyDescent="0.2">
      <c r="F611" s="31"/>
      <c r="G611" s="31"/>
      <c r="H611" s="31"/>
    </row>
    <row r="612" spans="6:8" ht="12.75" customHeight="1" x14ac:dyDescent="0.2">
      <c r="F612" s="31"/>
      <c r="G612" s="31"/>
      <c r="H612" s="31"/>
    </row>
    <row r="613" spans="6:8" ht="12.75" customHeight="1" x14ac:dyDescent="0.2">
      <c r="F613" s="31"/>
      <c r="G613" s="31"/>
      <c r="H613" s="31"/>
    </row>
    <row r="614" spans="6:8" ht="12.75" customHeight="1" x14ac:dyDescent="0.2">
      <c r="F614" s="31"/>
      <c r="G614" s="31"/>
      <c r="H614" s="31"/>
    </row>
    <row r="615" spans="6:8" ht="12.75" customHeight="1" x14ac:dyDescent="0.2">
      <c r="F615" s="31"/>
      <c r="G615" s="31"/>
      <c r="H615" s="31"/>
    </row>
    <row r="616" spans="6:8" ht="12.75" customHeight="1" x14ac:dyDescent="0.2">
      <c r="F616" s="31"/>
      <c r="G616" s="31"/>
      <c r="H616" s="31"/>
    </row>
    <row r="617" spans="6:8" ht="12.75" customHeight="1" x14ac:dyDescent="0.2">
      <c r="F617" s="31"/>
      <c r="G617" s="31"/>
      <c r="H617" s="31"/>
    </row>
    <row r="618" spans="6:8" ht="12.75" customHeight="1" x14ac:dyDescent="0.2">
      <c r="F618" s="31"/>
      <c r="G618" s="31"/>
      <c r="H618" s="31"/>
    </row>
    <row r="619" spans="6:8" ht="12.75" customHeight="1" x14ac:dyDescent="0.2">
      <c r="F619" s="31"/>
      <c r="G619" s="31"/>
      <c r="H619" s="31"/>
    </row>
    <row r="620" spans="6:8" ht="12.75" customHeight="1" x14ac:dyDescent="0.2">
      <c r="F620" s="31"/>
      <c r="G620" s="31"/>
      <c r="H620" s="31"/>
    </row>
    <row r="621" spans="6:8" ht="12.75" customHeight="1" x14ac:dyDescent="0.2">
      <c r="F621" s="31"/>
      <c r="G621" s="31"/>
      <c r="H621" s="31"/>
    </row>
    <row r="622" spans="6:8" ht="12.75" customHeight="1" x14ac:dyDescent="0.2">
      <c r="F622" s="31"/>
      <c r="G622" s="31"/>
      <c r="H622" s="31"/>
    </row>
    <row r="623" spans="6:8" ht="12.75" customHeight="1" x14ac:dyDescent="0.2">
      <c r="F623" s="31"/>
      <c r="G623" s="31"/>
      <c r="H623" s="31"/>
    </row>
    <row r="624" spans="6:8" ht="12.75" customHeight="1" x14ac:dyDescent="0.2">
      <c r="F624" s="31"/>
      <c r="G624" s="31"/>
      <c r="H624" s="31"/>
    </row>
    <row r="625" spans="6:8" ht="12.75" customHeight="1" x14ac:dyDescent="0.2">
      <c r="F625" s="31"/>
      <c r="G625" s="31"/>
      <c r="H625" s="31"/>
    </row>
    <row r="626" spans="6:8" ht="12.75" customHeight="1" x14ac:dyDescent="0.2">
      <c r="F626" s="31"/>
      <c r="G626" s="31"/>
      <c r="H626" s="31"/>
    </row>
    <row r="627" spans="6:8" ht="12.75" customHeight="1" x14ac:dyDescent="0.2">
      <c r="F627" s="31"/>
      <c r="G627" s="31"/>
      <c r="H627" s="31"/>
    </row>
    <row r="628" spans="6:8" ht="12.75" customHeight="1" x14ac:dyDescent="0.2">
      <c r="F628" s="31"/>
      <c r="G628" s="31"/>
      <c r="H628" s="31"/>
    </row>
    <row r="629" spans="6:8" ht="12.75" customHeight="1" x14ac:dyDescent="0.2">
      <c r="F629" s="31"/>
      <c r="G629" s="31"/>
      <c r="H629" s="31"/>
    </row>
    <row r="630" spans="6:8" ht="12.75" customHeight="1" x14ac:dyDescent="0.2">
      <c r="F630" s="31"/>
      <c r="G630" s="31"/>
      <c r="H630" s="31"/>
    </row>
    <row r="631" spans="6:8" ht="12.75" customHeight="1" x14ac:dyDescent="0.2">
      <c r="F631" s="31"/>
      <c r="G631" s="31"/>
      <c r="H631" s="31"/>
    </row>
    <row r="632" spans="6:8" ht="12.75" customHeight="1" x14ac:dyDescent="0.2">
      <c r="F632" s="31"/>
      <c r="G632" s="31"/>
      <c r="H632" s="31"/>
    </row>
    <row r="633" spans="6:8" ht="12.75" customHeight="1" x14ac:dyDescent="0.2">
      <c r="F633" s="31"/>
      <c r="G633" s="31"/>
      <c r="H633" s="31"/>
    </row>
    <row r="634" spans="6:8" ht="12.75" customHeight="1" x14ac:dyDescent="0.2">
      <c r="F634" s="31"/>
      <c r="G634" s="31"/>
      <c r="H634" s="31"/>
    </row>
    <row r="635" spans="6:8" ht="12.75" customHeight="1" x14ac:dyDescent="0.2">
      <c r="F635" s="31"/>
      <c r="G635" s="31"/>
      <c r="H635" s="31"/>
    </row>
    <row r="636" spans="6:8" ht="12.75" customHeight="1" x14ac:dyDescent="0.2">
      <c r="F636" s="31"/>
      <c r="G636" s="31"/>
      <c r="H636" s="31"/>
    </row>
    <row r="637" spans="6:8" ht="12.75" customHeight="1" x14ac:dyDescent="0.2">
      <c r="F637" s="31"/>
      <c r="G637" s="31"/>
      <c r="H637" s="31"/>
    </row>
    <row r="638" spans="6:8" ht="12.75" customHeight="1" x14ac:dyDescent="0.2">
      <c r="F638" s="31"/>
      <c r="G638" s="31"/>
      <c r="H638" s="31"/>
    </row>
    <row r="639" spans="6:8" ht="12.75" customHeight="1" x14ac:dyDescent="0.2">
      <c r="F639" s="31"/>
      <c r="G639" s="31"/>
      <c r="H639" s="31"/>
    </row>
    <row r="640" spans="6:8" ht="12.75" customHeight="1" x14ac:dyDescent="0.2">
      <c r="F640" s="31"/>
      <c r="G640" s="31"/>
      <c r="H640" s="31"/>
    </row>
    <row r="641" spans="6:8" ht="12.75" customHeight="1" x14ac:dyDescent="0.2">
      <c r="F641" s="31"/>
      <c r="G641" s="31"/>
      <c r="H641" s="31"/>
    </row>
    <row r="642" spans="6:8" ht="12.75" customHeight="1" x14ac:dyDescent="0.2">
      <c r="F642" s="31"/>
      <c r="G642" s="31"/>
      <c r="H642" s="31"/>
    </row>
    <row r="643" spans="6:8" ht="12.75" customHeight="1" x14ac:dyDescent="0.2">
      <c r="F643" s="31"/>
      <c r="G643" s="31"/>
      <c r="H643" s="31"/>
    </row>
    <row r="644" spans="6:8" ht="12.75" customHeight="1" x14ac:dyDescent="0.2">
      <c r="F644" s="31"/>
      <c r="G644" s="31"/>
      <c r="H644" s="31"/>
    </row>
    <row r="645" spans="6:8" ht="12.75" customHeight="1" x14ac:dyDescent="0.2">
      <c r="F645" s="31"/>
      <c r="G645" s="31"/>
      <c r="H645" s="31"/>
    </row>
    <row r="646" spans="6:8" ht="12.75" customHeight="1" x14ac:dyDescent="0.2">
      <c r="F646" s="31"/>
      <c r="G646" s="31"/>
      <c r="H646" s="31"/>
    </row>
    <row r="647" spans="6:8" ht="12.75" customHeight="1" x14ac:dyDescent="0.2">
      <c r="F647" s="31"/>
      <c r="G647" s="31"/>
      <c r="H647" s="31"/>
    </row>
    <row r="648" spans="6:8" ht="12.75" customHeight="1" x14ac:dyDescent="0.2">
      <c r="F648" s="31"/>
      <c r="G648" s="31"/>
      <c r="H648" s="31"/>
    </row>
    <row r="649" spans="6:8" ht="12.75" customHeight="1" x14ac:dyDescent="0.2">
      <c r="F649" s="31"/>
      <c r="G649" s="31"/>
      <c r="H649" s="31"/>
    </row>
    <row r="650" spans="6:8" ht="12.75" customHeight="1" x14ac:dyDescent="0.2">
      <c r="F650" s="31"/>
      <c r="G650" s="31"/>
      <c r="H650" s="31"/>
    </row>
    <row r="651" spans="6:8" ht="12.75" customHeight="1" x14ac:dyDescent="0.2">
      <c r="F651" s="31"/>
      <c r="G651" s="31"/>
      <c r="H651" s="31"/>
    </row>
    <row r="652" spans="6:8" ht="12.75" customHeight="1" x14ac:dyDescent="0.2">
      <c r="F652" s="31"/>
      <c r="G652" s="31"/>
      <c r="H652" s="31"/>
    </row>
    <row r="653" spans="6:8" ht="12.75" customHeight="1" x14ac:dyDescent="0.2">
      <c r="F653" s="31"/>
      <c r="G653" s="31"/>
      <c r="H653" s="31"/>
    </row>
    <row r="654" spans="6:8" ht="12.75" customHeight="1" x14ac:dyDescent="0.2">
      <c r="F654" s="31"/>
      <c r="G654" s="31"/>
      <c r="H654" s="31"/>
    </row>
    <row r="655" spans="6:8" ht="12.75" customHeight="1" x14ac:dyDescent="0.2">
      <c r="F655" s="31"/>
      <c r="G655" s="31"/>
      <c r="H655" s="31"/>
    </row>
    <row r="656" spans="6:8" ht="12.75" customHeight="1" x14ac:dyDescent="0.2">
      <c r="F656" s="31"/>
      <c r="G656" s="31"/>
      <c r="H656" s="31"/>
    </row>
    <row r="657" spans="6:8" ht="12.75" customHeight="1" x14ac:dyDescent="0.2">
      <c r="F657" s="31"/>
      <c r="G657" s="31"/>
      <c r="H657" s="31"/>
    </row>
    <row r="658" spans="6:8" ht="12.75" customHeight="1" x14ac:dyDescent="0.2">
      <c r="F658" s="31"/>
      <c r="G658" s="31"/>
      <c r="H658" s="31"/>
    </row>
    <row r="659" spans="6:8" ht="12.75" customHeight="1" x14ac:dyDescent="0.2">
      <c r="F659" s="31"/>
      <c r="G659" s="31"/>
      <c r="H659" s="31"/>
    </row>
    <row r="660" spans="6:8" ht="12.75" customHeight="1" x14ac:dyDescent="0.2">
      <c r="F660" s="31"/>
      <c r="G660" s="31"/>
      <c r="H660" s="31"/>
    </row>
    <row r="661" spans="6:8" ht="12.75" customHeight="1" x14ac:dyDescent="0.2">
      <c r="F661" s="31"/>
      <c r="G661" s="31"/>
      <c r="H661" s="31"/>
    </row>
    <row r="662" spans="6:8" ht="12.75" customHeight="1" x14ac:dyDescent="0.2">
      <c r="F662" s="31"/>
      <c r="G662" s="31"/>
      <c r="H662" s="31"/>
    </row>
    <row r="663" spans="6:8" ht="12.75" customHeight="1" x14ac:dyDescent="0.2">
      <c r="F663" s="31"/>
      <c r="G663" s="31"/>
      <c r="H663" s="31"/>
    </row>
    <row r="664" spans="6:8" ht="12.75" customHeight="1" x14ac:dyDescent="0.2">
      <c r="F664" s="31"/>
      <c r="G664" s="31"/>
      <c r="H664" s="31"/>
    </row>
    <row r="665" spans="6:8" ht="12.75" customHeight="1" x14ac:dyDescent="0.2">
      <c r="F665" s="31"/>
      <c r="G665" s="31"/>
      <c r="H665" s="31"/>
    </row>
    <row r="666" spans="6:8" ht="12.75" customHeight="1" x14ac:dyDescent="0.2">
      <c r="F666" s="31"/>
      <c r="G666" s="31"/>
      <c r="H666" s="31"/>
    </row>
    <row r="667" spans="6:8" ht="12.75" customHeight="1" x14ac:dyDescent="0.2">
      <c r="F667" s="31"/>
      <c r="G667" s="31"/>
      <c r="H667" s="31"/>
    </row>
    <row r="668" spans="6:8" ht="12.75" customHeight="1" x14ac:dyDescent="0.2">
      <c r="F668" s="31"/>
      <c r="G668" s="31"/>
      <c r="H668" s="31"/>
    </row>
    <row r="669" spans="6:8" ht="12.75" customHeight="1" x14ac:dyDescent="0.2">
      <c r="F669" s="31"/>
      <c r="G669" s="31"/>
      <c r="H669" s="31"/>
    </row>
    <row r="670" spans="6:8" ht="12.75" customHeight="1" x14ac:dyDescent="0.2">
      <c r="F670" s="31"/>
      <c r="G670" s="31"/>
      <c r="H670" s="31"/>
    </row>
    <row r="671" spans="6:8" ht="12.75" customHeight="1" x14ac:dyDescent="0.2">
      <c r="F671" s="31"/>
      <c r="G671" s="31"/>
      <c r="H671" s="31"/>
    </row>
    <row r="672" spans="6:8" ht="12.75" customHeight="1" x14ac:dyDescent="0.2">
      <c r="F672" s="31"/>
      <c r="G672" s="31"/>
      <c r="H672" s="31"/>
    </row>
    <row r="673" spans="6:8" ht="12.75" customHeight="1" x14ac:dyDescent="0.2">
      <c r="F673" s="31"/>
      <c r="G673" s="31"/>
      <c r="H673" s="31"/>
    </row>
    <row r="674" spans="6:8" ht="12.75" customHeight="1" x14ac:dyDescent="0.2">
      <c r="F674" s="31"/>
      <c r="G674" s="31"/>
      <c r="H674" s="31"/>
    </row>
    <row r="675" spans="6:8" ht="12.75" customHeight="1" x14ac:dyDescent="0.2">
      <c r="F675" s="31"/>
      <c r="G675" s="31"/>
      <c r="H675" s="31"/>
    </row>
    <row r="676" spans="6:8" ht="12.75" customHeight="1" x14ac:dyDescent="0.2">
      <c r="F676" s="31"/>
      <c r="G676" s="31"/>
      <c r="H676" s="31"/>
    </row>
    <row r="677" spans="6:8" ht="12.75" customHeight="1" x14ac:dyDescent="0.2">
      <c r="F677" s="31"/>
      <c r="G677" s="31"/>
      <c r="H677" s="31"/>
    </row>
    <row r="678" spans="6:8" ht="12.75" customHeight="1" x14ac:dyDescent="0.2">
      <c r="F678" s="31"/>
      <c r="G678" s="31"/>
      <c r="H678" s="31"/>
    </row>
    <row r="679" spans="6:8" ht="12.75" customHeight="1" x14ac:dyDescent="0.2">
      <c r="F679" s="31"/>
      <c r="G679" s="31"/>
      <c r="H679" s="31"/>
    </row>
    <row r="680" spans="6:8" ht="12.75" customHeight="1" x14ac:dyDescent="0.2">
      <c r="F680" s="31"/>
      <c r="G680" s="31"/>
      <c r="H680" s="31"/>
    </row>
    <row r="681" spans="6:8" ht="12.75" customHeight="1" x14ac:dyDescent="0.2">
      <c r="F681" s="31"/>
      <c r="G681" s="31"/>
      <c r="H681" s="31"/>
    </row>
    <row r="682" spans="6:8" ht="12.75" customHeight="1" x14ac:dyDescent="0.2">
      <c r="F682" s="31"/>
      <c r="G682" s="31"/>
      <c r="H682" s="31"/>
    </row>
    <row r="683" spans="6:8" ht="12.75" customHeight="1" x14ac:dyDescent="0.2">
      <c r="F683" s="31"/>
      <c r="G683" s="31"/>
      <c r="H683" s="31"/>
    </row>
    <row r="684" spans="6:8" ht="12.75" customHeight="1" x14ac:dyDescent="0.2">
      <c r="F684" s="31"/>
      <c r="G684" s="31"/>
      <c r="H684" s="31"/>
    </row>
    <row r="685" spans="6:8" ht="12.75" customHeight="1" x14ac:dyDescent="0.2">
      <c r="F685" s="31"/>
      <c r="G685" s="31"/>
      <c r="H685" s="31"/>
    </row>
    <row r="686" spans="6:8" ht="12.75" customHeight="1" x14ac:dyDescent="0.2">
      <c r="F686" s="31"/>
      <c r="G686" s="31"/>
      <c r="H686" s="31"/>
    </row>
    <row r="687" spans="6:8" ht="12.75" customHeight="1" x14ac:dyDescent="0.2">
      <c r="F687" s="31"/>
      <c r="G687" s="31"/>
      <c r="H687" s="31"/>
    </row>
    <row r="688" spans="6:8" ht="12.75" customHeight="1" x14ac:dyDescent="0.2">
      <c r="F688" s="31"/>
      <c r="G688" s="31"/>
      <c r="H688" s="31"/>
    </row>
    <row r="689" spans="6:8" ht="12.75" customHeight="1" x14ac:dyDescent="0.2">
      <c r="F689" s="31"/>
      <c r="G689" s="31"/>
      <c r="H689" s="31"/>
    </row>
    <row r="690" spans="6:8" ht="12.75" customHeight="1" x14ac:dyDescent="0.2">
      <c r="F690" s="31"/>
      <c r="G690" s="31"/>
      <c r="H690" s="31"/>
    </row>
    <row r="691" spans="6:8" ht="12.75" customHeight="1" x14ac:dyDescent="0.2">
      <c r="F691" s="31"/>
      <c r="G691" s="31"/>
      <c r="H691" s="31"/>
    </row>
    <row r="692" spans="6:8" ht="12.75" customHeight="1" x14ac:dyDescent="0.2">
      <c r="F692" s="31"/>
      <c r="G692" s="31"/>
      <c r="H692" s="31"/>
    </row>
    <row r="693" spans="6:8" ht="12.75" customHeight="1" x14ac:dyDescent="0.2">
      <c r="F693" s="31"/>
      <c r="G693" s="31"/>
      <c r="H693" s="31"/>
    </row>
    <row r="694" spans="6:8" ht="12.75" customHeight="1" x14ac:dyDescent="0.2">
      <c r="F694" s="31"/>
      <c r="G694" s="31"/>
      <c r="H694" s="31"/>
    </row>
    <row r="695" spans="6:8" ht="12.75" customHeight="1" x14ac:dyDescent="0.2">
      <c r="F695" s="31"/>
      <c r="G695" s="31"/>
      <c r="H695" s="31"/>
    </row>
    <row r="696" spans="6:8" ht="12.75" customHeight="1" x14ac:dyDescent="0.2">
      <c r="F696" s="31"/>
      <c r="G696" s="31"/>
      <c r="H696" s="31"/>
    </row>
    <row r="697" spans="6:8" ht="12.75" customHeight="1" x14ac:dyDescent="0.2">
      <c r="F697" s="31"/>
      <c r="G697" s="31"/>
      <c r="H697" s="31"/>
    </row>
    <row r="698" spans="6:8" ht="12.75" customHeight="1" x14ac:dyDescent="0.2">
      <c r="F698" s="31"/>
      <c r="G698" s="31"/>
      <c r="H698" s="31"/>
    </row>
    <row r="699" spans="6:8" ht="12.75" customHeight="1" x14ac:dyDescent="0.2">
      <c r="F699" s="31"/>
      <c r="G699" s="31"/>
      <c r="H699" s="31"/>
    </row>
    <row r="700" spans="6:8" ht="12.75" customHeight="1" x14ac:dyDescent="0.2">
      <c r="F700" s="31"/>
      <c r="G700" s="31"/>
      <c r="H700" s="31"/>
    </row>
    <row r="701" spans="6:8" ht="12.75" customHeight="1" x14ac:dyDescent="0.2">
      <c r="F701" s="31"/>
      <c r="G701" s="31"/>
      <c r="H701" s="31"/>
    </row>
    <row r="702" spans="6:8" ht="12.75" customHeight="1" x14ac:dyDescent="0.2">
      <c r="F702" s="31"/>
      <c r="G702" s="31"/>
      <c r="H702" s="31"/>
    </row>
    <row r="703" spans="6:8" ht="12.75" customHeight="1" x14ac:dyDescent="0.2">
      <c r="F703" s="31"/>
      <c r="G703" s="31"/>
      <c r="H703" s="31"/>
    </row>
    <row r="704" spans="6:8" ht="12.75" customHeight="1" x14ac:dyDescent="0.2">
      <c r="F704" s="31"/>
      <c r="G704" s="31"/>
      <c r="H704" s="31"/>
    </row>
    <row r="705" spans="6:8" ht="12.75" customHeight="1" x14ac:dyDescent="0.2">
      <c r="F705" s="31"/>
      <c r="G705" s="31"/>
      <c r="H705" s="31"/>
    </row>
    <row r="706" spans="6:8" ht="12.75" customHeight="1" x14ac:dyDescent="0.2">
      <c r="F706" s="31"/>
      <c r="G706" s="31"/>
      <c r="H706" s="31"/>
    </row>
    <row r="707" spans="6:8" ht="12.75" customHeight="1" x14ac:dyDescent="0.2">
      <c r="F707" s="31"/>
      <c r="G707" s="31"/>
      <c r="H707" s="31"/>
    </row>
    <row r="708" spans="6:8" ht="12.75" customHeight="1" x14ac:dyDescent="0.2">
      <c r="F708" s="31"/>
      <c r="G708" s="31"/>
      <c r="H708" s="31"/>
    </row>
    <row r="709" spans="6:8" ht="12.75" customHeight="1" x14ac:dyDescent="0.2">
      <c r="F709" s="31"/>
      <c r="G709" s="31"/>
      <c r="H709" s="31"/>
    </row>
    <row r="710" spans="6:8" ht="12.75" customHeight="1" x14ac:dyDescent="0.2">
      <c r="F710" s="31"/>
      <c r="G710" s="31"/>
      <c r="H710" s="31"/>
    </row>
    <row r="711" spans="6:8" ht="12.75" customHeight="1" x14ac:dyDescent="0.2">
      <c r="F711" s="31"/>
      <c r="G711" s="31"/>
      <c r="H711" s="31"/>
    </row>
    <row r="712" spans="6:8" ht="12.75" customHeight="1" x14ac:dyDescent="0.2">
      <c r="F712" s="31"/>
      <c r="G712" s="31"/>
      <c r="H712" s="31"/>
    </row>
    <row r="713" spans="6:8" ht="12.75" customHeight="1" x14ac:dyDescent="0.2">
      <c r="F713" s="31"/>
      <c r="G713" s="31"/>
      <c r="H713" s="31"/>
    </row>
    <row r="714" spans="6:8" ht="12.75" customHeight="1" x14ac:dyDescent="0.2">
      <c r="F714" s="31"/>
      <c r="G714" s="31"/>
      <c r="H714" s="31"/>
    </row>
    <row r="715" spans="6:8" ht="12.75" customHeight="1" x14ac:dyDescent="0.2">
      <c r="F715" s="31"/>
      <c r="G715" s="31"/>
      <c r="H715" s="31"/>
    </row>
    <row r="716" spans="6:8" ht="12.75" customHeight="1" x14ac:dyDescent="0.2">
      <c r="F716" s="31"/>
      <c r="G716" s="31"/>
      <c r="H716" s="31"/>
    </row>
    <row r="717" spans="6:8" ht="12.75" customHeight="1" x14ac:dyDescent="0.2">
      <c r="F717" s="31"/>
      <c r="G717" s="31"/>
      <c r="H717" s="31"/>
    </row>
    <row r="718" spans="6:8" ht="12.75" customHeight="1" x14ac:dyDescent="0.2">
      <c r="F718" s="31"/>
      <c r="G718" s="31"/>
      <c r="H718" s="31"/>
    </row>
    <row r="719" spans="6:8" ht="12.75" customHeight="1" x14ac:dyDescent="0.2">
      <c r="F719" s="31"/>
      <c r="G719" s="31"/>
      <c r="H719" s="31"/>
    </row>
    <row r="720" spans="6:8" ht="12.75" customHeight="1" x14ac:dyDescent="0.2">
      <c r="F720" s="31"/>
      <c r="G720" s="31"/>
      <c r="H720" s="31"/>
    </row>
    <row r="721" spans="6:8" ht="12.75" customHeight="1" x14ac:dyDescent="0.2">
      <c r="F721" s="31"/>
      <c r="G721" s="31"/>
      <c r="H721" s="31"/>
    </row>
    <row r="722" spans="6:8" ht="12.75" customHeight="1" x14ac:dyDescent="0.2">
      <c r="F722" s="31"/>
      <c r="G722" s="31"/>
      <c r="H722" s="31"/>
    </row>
    <row r="723" spans="6:8" ht="12.75" customHeight="1" x14ac:dyDescent="0.2">
      <c r="F723" s="31"/>
      <c r="G723" s="31"/>
      <c r="H723" s="31"/>
    </row>
    <row r="724" spans="6:8" ht="12.75" customHeight="1" x14ac:dyDescent="0.2">
      <c r="F724" s="31"/>
      <c r="G724" s="31"/>
      <c r="H724" s="31"/>
    </row>
    <row r="725" spans="6:8" ht="12.75" customHeight="1" x14ac:dyDescent="0.2">
      <c r="F725" s="31"/>
      <c r="G725" s="31"/>
      <c r="H725" s="31"/>
    </row>
    <row r="726" spans="6:8" ht="12.75" customHeight="1" x14ac:dyDescent="0.2">
      <c r="F726" s="31"/>
      <c r="G726" s="31"/>
      <c r="H726" s="31"/>
    </row>
    <row r="727" spans="6:8" ht="12.75" customHeight="1" x14ac:dyDescent="0.2">
      <c r="F727" s="31"/>
      <c r="G727" s="31"/>
      <c r="H727" s="31"/>
    </row>
    <row r="728" spans="6:8" ht="12.75" customHeight="1" x14ac:dyDescent="0.2">
      <c r="F728" s="31"/>
      <c r="G728" s="31"/>
      <c r="H728" s="31"/>
    </row>
    <row r="729" spans="6:8" ht="12.75" customHeight="1" x14ac:dyDescent="0.2">
      <c r="F729" s="31"/>
      <c r="G729" s="31"/>
      <c r="H729" s="31"/>
    </row>
    <row r="730" spans="6:8" ht="12.75" customHeight="1" x14ac:dyDescent="0.2">
      <c r="F730" s="31"/>
      <c r="G730" s="31"/>
      <c r="H730" s="31"/>
    </row>
    <row r="731" spans="6:8" ht="12.75" customHeight="1" x14ac:dyDescent="0.2">
      <c r="F731" s="31"/>
      <c r="G731" s="31"/>
      <c r="H731" s="31"/>
    </row>
    <row r="732" spans="6:8" ht="12.75" customHeight="1" x14ac:dyDescent="0.2">
      <c r="F732" s="31"/>
      <c r="G732" s="31"/>
      <c r="H732" s="31"/>
    </row>
    <row r="733" spans="6:8" ht="12.75" customHeight="1" x14ac:dyDescent="0.2">
      <c r="F733" s="31"/>
      <c r="G733" s="31"/>
      <c r="H733" s="31"/>
    </row>
    <row r="734" spans="6:8" ht="12.75" customHeight="1" x14ac:dyDescent="0.2">
      <c r="F734" s="31"/>
      <c r="G734" s="31"/>
      <c r="H734" s="31"/>
    </row>
    <row r="735" spans="6:8" ht="12.75" customHeight="1" x14ac:dyDescent="0.2">
      <c r="F735" s="31"/>
      <c r="G735" s="31"/>
      <c r="H735" s="31"/>
    </row>
    <row r="736" spans="6:8" ht="12.75" customHeight="1" x14ac:dyDescent="0.2">
      <c r="F736" s="31"/>
      <c r="G736" s="31"/>
      <c r="H736" s="31"/>
    </row>
    <row r="737" spans="6:8" ht="12.75" customHeight="1" x14ac:dyDescent="0.2">
      <c r="F737" s="31"/>
      <c r="G737" s="31"/>
      <c r="H737" s="31"/>
    </row>
    <row r="738" spans="6:8" ht="12.75" customHeight="1" x14ac:dyDescent="0.2">
      <c r="F738" s="31"/>
      <c r="G738" s="31"/>
      <c r="H738" s="31"/>
    </row>
    <row r="739" spans="6:8" ht="12.75" customHeight="1" x14ac:dyDescent="0.2">
      <c r="F739" s="31"/>
      <c r="G739" s="31"/>
      <c r="H739" s="31"/>
    </row>
    <row r="740" spans="6:8" ht="12.75" customHeight="1" x14ac:dyDescent="0.2">
      <c r="F740" s="31"/>
      <c r="G740" s="31"/>
      <c r="H740" s="31"/>
    </row>
    <row r="741" spans="6:8" ht="12.75" customHeight="1" x14ac:dyDescent="0.2">
      <c r="F741" s="31"/>
      <c r="G741" s="31"/>
      <c r="H741" s="31"/>
    </row>
    <row r="742" spans="6:8" ht="12.75" customHeight="1" x14ac:dyDescent="0.2">
      <c r="F742" s="31"/>
      <c r="G742" s="31"/>
      <c r="H742" s="31"/>
    </row>
    <row r="743" spans="6:8" ht="12.75" customHeight="1" x14ac:dyDescent="0.2">
      <c r="F743" s="31"/>
      <c r="G743" s="31"/>
      <c r="H743" s="31"/>
    </row>
    <row r="744" spans="6:8" ht="12.75" customHeight="1" x14ac:dyDescent="0.2">
      <c r="F744" s="31"/>
      <c r="G744" s="31"/>
      <c r="H744" s="31"/>
    </row>
    <row r="745" spans="6:8" ht="12.75" customHeight="1" x14ac:dyDescent="0.2">
      <c r="F745" s="31"/>
      <c r="G745" s="31"/>
      <c r="H745" s="31"/>
    </row>
    <row r="746" spans="6:8" ht="12.75" customHeight="1" x14ac:dyDescent="0.2">
      <c r="F746" s="31"/>
      <c r="G746" s="31"/>
      <c r="H746" s="31"/>
    </row>
    <row r="747" spans="6:8" ht="12.75" customHeight="1" x14ac:dyDescent="0.2">
      <c r="F747" s="31"/>
      <c r="G747" s="31"/>
      <c r="H747" s="31"/>
    </row>
    <row r="748" spans="6:8" ht="12.75" customHeight="1" x14ac:dyDescent="0.2">
      <c r="F748" s="31"/>
      <c r="G748" s="31"/>
      <c r="H748" s="31"/>
    </row>
    <row r="749" spans="6:8" ht="12.75" customHeight="1" x14ac:dyDescent="0.2">
      <c r="F749" s="31"/>
      <c r="G749" s="31"/>
      <c r="H749" s="31"/>
    </row>
    <row r="750" spans="6:8" ht="12.75" customHeight="1" x14ac:dyDescent="0.2">
      <c r="F750" s="31"/>
      <c r="G750" s="31"/>
      <c r="H750" s="31"/>
    </row>
    <row r="751" spans="6:8" ht="12.75" customHeight="1" x14ac:dyDescent="0.2">
      <c r="F751" s="31"/>
      <c r="G751" s="31"/>
      <c r="H751" s="31"/>
    </row>
    <row r="752" spans="6:8" ht="12.75" customHeight="1" x14ac:dyDescent="0.2">
      <c r="F752" s="31"/>
      <c r="G752" s="31"/>
      <c r="H752" s="31"/>
    </row>
    <row r="753" spans="6:8" ht="12.75" customHeight="1" x14ac:dyDescent="0.2">
      <c r="F753" s="31"/>
      <c r="G753" s="31"/>
      <c r="H753" s="31"/>
    </row>
    <row r="754" spans="6:8" ht="12.75" customHeight="1" x14ac:dyDescent="0.2">
      <c r="F754" s="31"/>
      <c r="G754" s="31"/>
      <c r="H754" s="31"/>
    </row>
    <row r="755" spans="6:8" ht="12.75" customHeight="1" x14ac:dyDescent="0.2">
      <c r="F755" s="31"/>
      <c r="G755" s="31"/>
      <c r="H755" s="31"/>
    </row>
    <row r="756" spans="6:8" ht="12.75" customHeight="1" x14ac:dyDescent="0.2">
      <c r="F756" s="31"/>
      <c r="G756" s="31"/>
      <c r="H756" s="31"/>
    </row>
    <row r="757" spans="6:8" ht="12.75" customHeight="1" x14ac:dyDescent="0.2">
      <c r="F757" s="31"/>
      <c r="G757" s="31"/>
      <c r="H757" s="31"/>
    </row>
    <row r="758" spans="6:8" ht="12.75" customHeight="1" x14ac:dyDescent="0.2">
      <c r="F758" s="31"/>
      <c r="G758" s="31"/>
      <c r="H758" s="31"/>
    </row>
    <row r="759" spans="6:8" ht="12.75" customHeight="1" x14ac:dyDescent="0.2">
      <c r="F759" s="31"/>
      <c r="G759" s="31"/>
      <c r="H759" s="31"/>
    </row>
    <row r="760" spans="6:8" ht="12.75" customHeight="1" x14ac:dyDescent="0.2">
      <c r="F760" s="31"/>
      <c r="G760" s="31"/>
      <c r="H760" s="31"/>
    </row>
    <row r="761" spans="6:8" ht="12.75" customHeight="1" x14ac:dyDescent="0.2">
      <c r="F761" s="31"/>
      <c r="G761" s="31"/>
      <c r="H761" s="31"/>
    </row>
    <row r="762" spans="6:8" ht="12.75" customHeight="1" x14ac:dyDescent="0.2">
      <c r="F762" s="31"/>
      <c r="G762" s="31"/>
      <c r="H762" s="31"/>
    </row>
    <row r="763" spans="6:8" ht="12.75" customHeight="1" x14ac:dyDescent="0.2">
      <c r="F763" s="31"/>
      <c r="G763" s="31"/>
      <c r="H763" s="31"/>
    </row>
    <row r="764" spans="6:8" ht="12.75" customHeight="1" x14ac:dyDescent="0.2">
      <c r="F764" s="31"/>
      <c r="G764" s="31"/>
      <c r="H764" s="31"/>
    </row>
    <row r="765" spans="6:8" ht="12.75" customHeight="1" x14ac:dyDescent="0.2">
      <c r="F765" s="31"/>
      <c r="G765" s="31"/>
      <c r="H765" s="31"/>
    </row>
    <row r="766" spans="6:8" ht="12.75" customHeight="1" x14ac:dyDescent="0.2">
      <c r="F766" s="31"/>
      <c r="G766" s="31"/>
      <c r="H766" s="31"/>
    </row>
    <row r="767" spans="6:8" ht="12.75" customHeight="1" x14ac:dyDescent="0.2">
      <c r="F767" s="31"/>
      <c r="G767" s="31"/>
      <c r="H767" s="31"/>
    </row>
    <row r="768" spans="6:8" ht="12.75" customHeight="1" x14ac:dyDescent="0.2">
      <c r="F768" s="31"/>
      <c r="G768" s="31"/>
      <c r="H768" s="31"/>
    </row>
    <row r="769" spans="6:8" ht="12.75" customHeight="1" x14ac:dyDescent="0.2">
      <c r="F769" s="31"/>
      <c r="G769" s="31"/>
      <c r="H769" s="31"/>
    </row>
    <row r="770" spans="6:8" ht="12.75" customHeight="1" x14ac:dyDescent="0.2">
      <c r="F770" s="31"/>
      <c r="G770" s="31"/>
      <c r="H770" s="31"/>
    </row>
    <row r="771" spans="6:8" ht="12.75" customHeight="1" x14ac:dyDescent="0.2">
      <c r="F771" s="31"/>
      <c r="G771" s="31"/>
      <c r="H771" s="31"/>
    </row>
    <row r="772" spans="6:8" ht="12.75" customHeight="1" x14ac:dyDescent="0.2">
      <c r="F772" s="31"/>
      <c r="G772" s="31"/>
      <c r="H772" s="31"/>
    </row>
    <row r="773" spans="6:8" ht="12.75" customHeight="1" x14ac:dyDescent="0.2">
      <c r="F773" s="31"/>
      <c r="G773" s="31"/>
      <c r="H773" s="31"/>
    </row>
    <row r="774" spans="6:8" ht="12.75" customHeight="1" x14ac:dyDescent="0.2">
      <c r="F774" s="31"/>
      <c r="G774" s="31"/>
      <c r="H774" s="31"/>
    </row>
    <row r="775" spans="6:8" ht="12.75" customHeight="1" x14ac:dyDescent="0.2">
      <c r="F775" s="31"/>
      <c r="G775" s="31"/>
      <c r="H775" s="31"/>
    </row>
    <row r="776" spans="6:8" ht="12.75" customHeight="1" x14ac:dyDescent="0.2">
      <c r="F776" s="31"/>
      <c r="G776" s="31"/>
      <c r="H776" s="31"/>
    </row>
    <row r="777" spans="6:8" ht="12.75" customHeight="1" x14ac:dyDescent="0.2">
      <c r="F777" s="31"/>
      <c r="G777" s="31"/>
      <c r="H777" s="31"/>
    </row>
    <row r="778" spans="6:8" ht="12.75" customHeight="1" x14ac:dyDescent="0.2">
      <c r="F778" s="31"/>
      <c r="G778" s="31"/>
      <c r="H778" s="31"/>
    </row>
    <row r="779" spans="6:8" ht="12.75" customHeight="1" x14ac:dyDescent="0.2">
      <c r="F779" s="31"/>
      <c r="G779" s="31"/>
      <c r="H779" s="31"/>
    </row>
    <row r="780" spans="6:8" ht="12.75" customHeight="1" x14ac:dyDescent="0.2">
      <c r="F780" s="31"/>
      <c r="G780" s="31"/>
      <c r="H780" s="31"/>
    </row>
    <row r="781" spans="6:8" ht="12.75" customHeight="1" x14ac:dyDescent="0.2">
      <c r="F781" s="31"/>
      <c r="G781" s="31"/>
      <c r="H781" s="31"/>
    </row>
    <row r="782" spans="6:8" ht="12.75" customHeight="1" x14ac:dyDescent="0.2">
      <c r="F782" s="31"/>
      <c r="G782" s="31"/>
      <c r="H782" s="31"/>
    </row>
    <row r="783" spans="6:8" ht="12.75" customHeight="1" x14ac:dyDescent="0.2">
      <c r="F783" s="31"/>
      <c r="G783" s="31"/>
      <c r="H783" s="31"/>
    </row>
    <row r="784" spans="6:8" ht="12.75" customHeight="1" x14ac:dyDescent="0.2">
      <c r="F784" s="31"/>
      <c r="G784" s="31"/>
      <c r="H784" s="31"/>
    </row>
    <row r="785" spans="6:8" ht="12.75" customHeight="1" x14ac:dyDescent="0.2">
      <c r="F785" s="31"/>
      <c r="G785" s="31"/>
      <c r="H785" s="31"/>
    </row>
    <row r="786" spans="6:8" ht="12.75" customHeight="1" x14ac:dyDescent="0.2">
      <c r="F786" s="31"/>
      <c r="G786" s="31"/>
      <c r="H786" s="31"/>
    </row>
    <row r="787" spans="6:8" ht="12.75" customHeight="1" x14ac:dyDescent="0.2">
      <c r="F787" s="31"/>
      <c r="G787" s="31"/>
      <c r="H787" s="31"/>
    </row>
    <row r="788" spans="6:8" ht="12.75" customHeight="1" x14ac:dyDescent="0.2">
      <c r="F788" s="31"/>
      <c r="G788" s="31"/>
      <c r="H788" s="31"/>
    </row>
    <row r="789" spans="6:8" ht="12.75" customHeight="1" x14ac:dyDescent="0.2">
      <c r="F789" s="31"/>
      <c r="G789" s="31"/>
      <c r="H789" s="31"/>
    </row>
    <row r="790" spans="6:8" ht="12.75" customHeight="1" x14ac:dyDescent="0.2">
      <c r="F790" s="31"/>
      <c r="G790" s="31"/>
      <c r="H790" s="31"/>
    </row>
    <row r="791" spans="6:8" ht="12.75" customHeight="1" x14ac:dyDescent="0.2">
      <c r="F791" s="31"/>
      <c r="G791" s="31"/>
      <c r="H791" s="31"/>
    </row>
    <row r="792" spans="6:8" ht="12.75" customHeight="1" x14ac:dyDescent="0.2">
      <c r="F792" s="31"/>
      <c r="G792" s="31"/>
      <c r="H792" s="31"/>
    </row>
    <row r="793" spans="6:8" ht="12.75" customHeight="1" x14ac:dyDescent="0.2">
      <c r="F793" s="31"/>
      <c r="G793" s="31"/>
      <c r="H793" s="31"/>
    </row>
    <row r="794" spans="6:8" ht="12.75" customHeight="1" x14ac:dyDescent="0.2">
      <c r="F794" s="31"/>
      <c r="G794" s="31"/>
      <c r="H794" s="31"/>
    </row>
    <row r="795" spans="6:8" ht="12.75" customHeight="1" x14ac:dyDescent="0.2">
      <c r="F795" s="31"/>
      <c r="G795" s="31"/>
      <c r="H795" s="31"/>
    </row>
    <row r="796" spans="6:8" ht="12.75" customHeight="1" x14ac:dyDescent="0.2">
      <c r="F796" s="31"/>
      <c r="G796" s="31"/>
      <c r="H796" s="31"/>
    </row>
    <row r="797" spans="6:8" ht="12.75" customHeight="1" x14ac:dyDescent="0.2">
      <c r="F797" s="31"/>
      <c r="G797" s="31"/>
      <c r="H797" s="31"/>
    </row>
    <row r="798" spans="6:8" ht="12.75" customHeight="1" x14ac:dyDescent="0.2">
      <c r="F798" s="31"/>
      <c r="G798" s="31"/>
      <c r="H798" s="31"/>
    </row>
    <row r="799" spans="6:8" ht="12.75" customHeight="1" x14ac:dyDescent="0.2">
      <c r="F799" s="31"/>
      <c r="G799" s="31"/>
      <c r="H799" s="31"/>
    </row>
    <row r="800" spans="6:8" ht="12.75" customHeight="1" x14ac:dyDescent="0.2">
      <c r="F800" s="31"/>
      <c r="G800" s="31"/>
      <c r="H800" s="31"/>
    </row>
    <row r="801" spans="6:8" ht="12.75" customHeight="1" x14ac:dyDescent="0.2">
      <c r="F801" s="31"/>
      <c r="G801" s="31"/>
      <c r="H801" s="31"/>
    </row>
    <row r="802" spans="6:8" ht="12.75" customHeight="1" x14ac:dyDescent="0.2">
      <c r="F802" s="31"/>
      <c r="G802" s="31"/>
      <c r="H802" s="31"/>
    </row>
    <row r="803" spans="6:8" ht="12.75" customHeight="1" x14ac:dyDescent="0.2">
      <c r="F803" s="31"/>
      <c r="G803" s="31"/>
      <c r="H803" s="31"/>
    </row>
    <row r="804" spans="6:8" ht="12.75" customHeight="1" x14ac:dyDescent="0.2">
      <c r="F804" s="31"/>
      <c r="G804" s="31"/>
      <c r="H804" s="31"/>
    </row>
    <row r="805" spans="6:8" ht="12.75" customHeight="1" x14ac:dyDescent="0.2">
      <c r="F805" s="31"/>
      <c r="G805" s="31"/>
      <c r="H805" s="31"/>
    </row>
    <row r="806" spans="6:8" ht="12.75" customHeight="1" x14ac:dyDescent="0.2">
      <c r="F806" s="31"/>
      <c r="G806" s="31"/>
      <c r="H806" s="31"/>
    </row>
    <row r="807" spans="6:8" ht="12.75" customHeight="1" x14ac:dyDescent="0.2">
      <c r="F807" s="31"/>
      <c r="G807" s="31"/>
      <c r="H807" s="31"/>
    </row>
    <row r="808" spans="6:8" ht="12.75" customHeight="1" x14ac:dyDescent="0.2">
      <c r="F808" s="31"/>
      <c r="G808" s="31"/>
      <c r="H808" s="31"/>
    </row>
    <row r="809" spans="6:8" ht="12.75" customHeight="1" x14ac:dyDescent="0.2">
      <c r="F809" s="31"/>
      <c r="G809" s="31"/>
      <c r="H809" s="31"/>
    </row>
    <row r="810" spans="6:8" ht="12.75" customHeight="1" x14ac:dyDescent="0.2">
      <c r="F810" s="31"/>
      <c r="G810" s="31"/>
      <c r="H810" s="31"/>
    </row>
    <row r="811" spans="6:8" ht="12.75" customHeight="1" x14ac:dyDescent="0.2">
      <c r="F811" s="31"/>
      <c r="G811" s="31"/>
      <c r="H811" s="31"/>
    </row>
    <row r="812" spans="6:8" ht="12.75" customHeight="1" x14ac:dyDescent="0.2">
      <c r="F812" s="31"/>
      <c r="G812" s="31"/>
      <c r="H812" s="31"/>
    </row>
    <row r="813" spans="6:8" ht="12.75" customHeight="1" x14ac:dyDescent="0.2">
      <c r="F813" s="31"/>
      <c r="G813" s="31"/>
      <c r="H813" s="31"/>
    </row>
    <row r="814" spans="6:8" ht="12.75" customHeight="1" x14ac:dyDescent="0.2">
      <c r="F814" s="31"/>
      <c r="G814" s="31"/>
      <c r="H814" s="31"/>
    </row>
    <row r="815" spans="6:8" ht="12.75" customHeight="1" x14ac:dyDescent="0.2">
      <c r="F815" s="31"/>
      <c r="G815" s="31"/>
      <c r="H815" s="31"/>
    </row>
    <row r="816" spans="6:8" ht="12.75" customHeight="1" x14ac:dyDescent="0.2">
      <c r="F816" s="31"/>
      <c r="G816" s="31"/>
      <c r="H816" s="31"/>
    </row>
    <row r="817" spans="6:8" ht="12.75" customHeight="1" x14ac:dyDescent="0.2">
      <c r="F817" s="31"/>
      <c r="G817" s="31"/>
      <c r="H817" s="31"/>
    </row>
    <row r="818" spans="6:8" ht="12.75" customHeight="1" x14ac:dyDescent="0.2">
      <c r="F818" s="31"/>
      <c r="G818" s="31"/>
      <c r="H818" s="31"/>
    </row>
    <row r="819" spans="6:8" ht="12.75" customHeight="1" x14ac:dyDescent="0.2">
      <c r="F819" s="31"/>
      <c r="G819" s="31"/>
      <c r="H819" s="31"/>
    </row>
    <row r="820" spans="6:8" ht="12.75" customHeight="1" x14ac:dyDescent="0.2">
      <c r="F820" s="31"/>
      <c r="G820" s="31"/>
      <c r="H820" s="31"/>
    </row>
    <row r="821" spans="6:8" ht="12.75" customHeight="1" x14ac:dyDescent="0.2">
      <c r="F821" s="31"/>
      <c r="G821" s="31"/>
      <c r="H821" s="31"/>
    </row>
    <row r="822" spans="6:8" ht="12.75" customHeight="1" x14ac:dyDescent="0.2">
      <c r="F822" s="31"/>
      <c r="G822" s="31"/>
      <c r="H822" s="31"/>
    </row>
    <row r="823" spans="6:8" ht="12.75" customHeight="1" x14ac:dyDescent="0.2">
      <c r="F823" s="31"/>
      <c r="G823" s="31"/>
      <c r="H823" s="31"/>
    </row>
    <row r="824" spans="6:8" ht="12.75" customHeight="1" x14ac:dyDescent="0.2">
      <c r="F824" s="31"/>
      <c r="G824" s="31"/>
      <c r="H824" s="31"/>
    </row>
    <row r="825" spans="6:8" ht="12.75" customHeight="1" x14ac:dyDescent="0.2">
      <c r="F825" s="31"/>
      <c r="G825" s="31"/>
      <c r="H825" s="31"/>
    </row>
    <row r="826" spans="6:8" ht="12.75" customHeight="1" x14ac:dyDescent="0.2">
      <c r="F826" s="31"/>
      <c r="G826" s="31"/>
      <c r="H826" s="31"/>
    </row>
    <row r="827" spans="6:8" ht="12.75" customHeight="1" x14ac:dyDescent="0.2">
      <c r="F827" s="31"/>
      <c r="G827" s="31"/>
      <c r="H827" s="31"/>
    </row>
    <row r="828" spans="6:8" ht="12.75" customHeight="1" x14ac:dyDescent="0.2">
      <c r="F828" s="31"/>
      <c r="G828" s="31"/>
      <c r="H828" s="31"/>
    </row>
    <row r="829" spans="6:8" ht="12.75" customHeight="1" x14ac:dyDescent="0.2">
      <c r="F829" s="31"/>
      <c r="G829" s="31"/>
      <c r="H829" s="31"/>
    </row>
    <row r="830" spans="6:8" ht="12.75" customHeight="1" x14ac:dyDescent="0.2">
      <c r="F830" s="31"/>
      <c r="G830" s="31"/>
      <c r="H830" s="31"/>
    </row>
    <row r="831" spans="6:8" ht="12.75" customHeight="1" x14ac:dyDescent="0.2">
      <c r="F831" s="31"/>
      <c r="G831" s="31"/>
      <c r="H831" s="31"/>
    </row>
    <row r="832" spans="6:8" ht="12.75" customHeight="1" x14ac:dyDescent="0.2">
      <c r="F832" s="31"/>
      <c r="G832" s="31"/>
      <c r="H832" s="31"/>
    </row>
    <row r="833" spans="6:8" ht="12.75" customHeight="1" x14ac:dyDescent="0.2">
      <c r="F833" s="31"/>
      <c r="G833" s="31"/>
      <c r="H833" s="31"/>
    </row>
    <row r="834" spans="6:8" ht="12.75" customHeight="1" x14ac:dyDescent="0.2">
      <c r="F834" s="31"/>
      <c r="G834" s="31"/>
      <c r="H834" s="31"/>
    </row>
    <row r="835" spans="6:8" ht="12.75" customHeight="1" x14ac:dyDescent="0.2">
      <c r="F835" s="31"/>
      <c r="G835" s="31"/>
      <c r="H835" s="31"/>
    </row>
    <row r="836" spans="6:8" ht="12.75" customHeight="1" x14ac:dyDescent="0.2">
      <c r="F836" s="31"/>
      <c r="G836" s="31"/>
      <c r="H836" s="31"/>
    </row>
    <row r="837" spans="6:8" ht="12.75" customHeight="1" x14ac:dyDescent="0.2">
      <c r="F837" s="31"/>
      <c r="G837" s="31"/>
      <c r="H837" s="31"/>
    </row>
    <row r="838" spans="6:8" ht="12.75" customHeight="1" x14ac:dyDescent="0.2">
      <c r="F838" s="31"/>
      <c r="G838" s="31"/>
      <c r="H838" s="31"/>
    </row>
    <row r="839" spans="6:8" ht="12.75" customHeight="1" x14ac:dyDescent="0.2">
      <c r="F839" s="31"/>
      <c r="G839" s="31"/>
      <c r="H839" s="31"/>
    </row>
    <row r="840" spans="6:8" ht="12.75" customHeight="1" x14ac:dyDescent="0.2">
      <c r="F840" s="31"/>
      <c r="G840" s="31"/>
      <c r="H840" s="31"/>
    </row>
    <row r="841" spans="6:8" ht="12.75" customHeight="1" x14ac:dyDescent="0.2">
      <c r="F841" s="31"/>
      <c r="G841" s="31"/>
      <c r="H841" s="31"/>
    </row>
    <row r="842" spans="6:8" ht="12.75" customHeight="1" x14ac:dyDescent="0.2">
      <c r="F842" s="31"/>
      <c r="G842" s="31"/>
      <c r="H842" s="31"/>
    </row>
    <row r="843" spans="6:8" ht="12.75" customHeight="1" x14ac:dyDescent="0.2">
      <c r="F843" s="31"/>
      <c r="G843" s="31"/>
      <c r="H843" s="31"/>
    </row>
    <row r="844" spans="6:8" ht="12.75" customHeight="1" x14ac:dyDescent="0.2">
      <c r="F844" s="31"/>
      <c r="G844" s="31"/>
      <c r="H844" s="31"/>
    </row>
    <row r="845" spans="6:8" ht="12.75" customHeight="1" x14ac:dyDescent="0.2">
      <c r="F845" s="31"/>
      <c r="G845" s="31"/>
      <c r="H845" s="31"/>
    </row>
    <row r="846" spans="6:8" ht="12.75" customHeight="1" x14ac:dyDescent="0.2">
      <c r="F846" s="31"/>
      <c r="G846" s="31"/>
      <c r="H846" s="31"/>
    </row>
    <row r="847" spans="6:8" ht="12.75" customHeight="1" x14ac:dyDescent="0.2">
      <c r="F847" s="31"/>
      <c r="G847" s="31"/>
      <c r="H847" s="31"/>
    </row>
    <row r="848" spans="6:8" ht="12.75" customHeight="1" x14ac:dyDescent="0.2">
      <c r="F848" s="31"/>
      <c r="G848" s="31"/>
      <c r="H848" s="31"/>
    </row>
    <row r="849" spans="6:8" ht="12.75" customHeight="1" x14ac:dyDescent="0.2">
      <c r="F849" s="31"/>
      <c r="G849" s="31"/>
      <c r="H849" s="31"/>
    </row>
    <row r="850" spans="6:8" ht="12.75" customHeight="1" x14ac:dyDescent="0.2">
      <c r="F850" s="31"/>
      <c r="G850" s="31"/>
      <c r="H850" s="31"/>
    </row>
    <row r="851" spans="6:8" ht="12.75" customHeight="1" x14ac:dyDescent="0.2">
      <c r="F851" s="31"/>
      <c r="G851" s="31"/>
      <c r="H851" s="31"/>
    </row>
    <row r="852" spans="6:8" ht="12.75" customHeight="1" x14ac:dyDescent="0.2">
      <c r="F852" s="31"/>
      <c r="G852" s="31"/>
      <c r="H852" s="31"/>
    </row>
    <row r="853" spans="6:8" ht="12.75" customHeight="1" x14ac:dyDescent="0.2">
      <c r="F853" s="31"/>
      <c r="G853" s="31"/>
      <c r="H853" s="31"/>
    </row>
    <row r="854" spans="6:8" ht="12.75" customHeight="1" x14ac:dyDescent="0.2">
      <c r="F854" s="31"/>
      <c r="G854" s="31"/>
      <c r="H854" s="31"/>
    </row>
    <row r="855" spans="6:8" ht="12.75" customHeight="1" x14ac:dyDescent="0.2">
      <c r="F855" s="31"/>
      <c r="G855" s="31"/>
      <c r="H855" s="31"/>
    </row>
    <row r="856" spans="6:8" ht="12.75" customHeight="1" x14ac:dyDescent="0.2">
      <c r="F856" s="31"/>
      <c r="G856" s="31"/>
      <c r="H856" s="31"/>
    </row>
    <row r="857" spans="6:8" ht="12.75" customHeight="1" x14ac:dyDescent="0.2">
      <c r="F857" s="31"/>
      <c r="G857" s="31"/>
      <c r="H857" s="31"/>
    </row>
    <row r="858" spans="6:8" ht="12.75" customHeight="1" x14ac:dyDescent="0.2">
      <c r="F858" s="31"/>
      <c r="G858" s="31"/>
      <c r="H858" s="31"/>
    </row>
    <row r="859" spans="6:8" ht="12.75" customHeight="1" x14ac:dyDescent="0.2">
      <c r="F859" s="31"/>
      <c r="G859" s="31"/>
      <c r="H859" s="31"/>
    </row>
    <row r="860" spans="6:8" ht="12.75" customHeight="1" x14ac:dyDescent="0.2">
      <c r="F860" s="31"/>
      <c r="G860" s="31"/>
      <c r="H860" s="31"/>
    </row>
    <row r="861" spans="6:8" ht="12.75" customHeight="1" x14ac:dyDescent="0.2">
      <c r="F861" s="31"/>
      <c r="G861" s="31"/>
      <c r="H861" s="31"/>
    </row>
    <row r="862" spans="6:8" ht="12.75" customHeight="1" x14ac:dyDescent="0.2">
      <c r="F862" s="31"/>
      <c r="G862" s="31"/>
      <c r="H862" s="31"/>
    </row>
    <row r="863" spans="6:8" ht="12.75" customHeight="1" x14ac:dyDescent="0.2">
      <c r="F863" s="31"/>
      <c r="G863" s="31"/>
      <c r="H863" s="31"/>
    </row>
    <row r="864" spans="6:8" ht="12.75" customHeight="1" x14ac:dyDescent="0.2">
      <c r="F864" s="31"/>
      <c r="G864" s="31"/>
      <c r="H864" s="31"/>
    </row>
    <row r="865" spans="6:8" ht="12.75" customHeight="1" x14ac:dyDescent="0.2">
      <c r="F865" s="31"/>
      <c r="G865" s="31"/>
      <c r="H865" s="31"/>
    </row>
    <row r="866" spans="6:8" ht="12.75" customHeight="1" x14ac:dyDescent="0.2">
      <c r="F866" s="31"/>
      <c r="G866" s="31"/>
      <c r="H866" s="31"/>
    </row>
    <row r="867" spans="6:8" ht="12.75" customHeight="1" x14ac:dyDescent="0.2">
      <c r="F867" s="31"/>
      <c r="G867" s="31"/>
      <c r="H867" s="31"/>
    </row>
    <row r="868" spans="6:8" ht="12.75" customHeight="1" x14ac:dyDescent="0.2">
      <c r="F868" s="31"/>
      <c r="G868" s="31"/>
      <c r="H868" s="31"/>
    </row>
    <row r="869" spans="6:8" ht="12.75" customHeight="1" x14ac:dyDescent="0.2">
      <c r="F869" s="31"/>
      <c r="G869" s="31"/>
      <c r="H869" s="31"/>
    </row>
    <row r="870" spans="6:8" ht="12.75" customHeight="1" x14ac:dyDescent="0.2">
      <c r="F870" s="31"/>
      <c r="G870" s="31"/>
      <c r="H870" s="31"/>
    </row>
    <row r="871" spans="6:8" ht="12.75" customHeight="1" x14ac:dyDescent="0.2">
      <c r="F871" s="31"/>
      <c r="G871" s="31"/>
      <c r="H871" s="31"/>
    </row>
    <row r="872" spans="6:8" ht="12.75" customHeight="1" x14ac:dyDescent="0.2">
      <c r="F872" s="31"/>
      <c r="G872" s="31"/>
      <c r="H872" s="31"/>
    </row>
    <row r="873" spans="6:8" ht="12.75" customHeight="1" x14ac:dyDescent="0.2">
      <c r="F873" s="31"/>
      <c r="G873" s="31"/>
      <c r="H873" s="31"/>
    </row>
    <row r="874" spans="6:8" ht="12.75" customHeight="1" x14ac:dyDescent="0.2">
      <c r="F874" s="31"/>
      <c r="G874" s="31"/>
      <c r="H874" s="31"/>
    </row>
    <row r="875" spans="6:8" ht="12.75" customHeight="1" x14ac:dyDescent="0.2">
      <c r="F875" s="31"/>
      <c r="G875" s="31"/>
      <c r="H875" s="31"/>
    </row>
    <row r="876" spans="6:8" ht="12.75" customHeight="1" x14ac:dyDescent="0.2">
      <c r="F876" s="31"/>
      <c r="G876" s="31"/>
      <c r="H876" s="31"/>
    </row>
    <row r="877" spans="6:8" ht="12.75" customHeight="1" x14ac:dyDescent="0.2">
      <c r="F877" s="31"/>
      <c r="G877" s="31"/>
      <c r="H877" s="31"/>
    </row>
    <row r="878" spans="6:8" ht="12.75" customHeight="1" x14ac:dyDescent="0.2">
      <c r="F878" s="31"/>
      <c r="G878" s="31"/>
      <c r="H878" s="31"/>
    </row>
    <row r="879" spans="6:8" ht="12.75" customHeight="1" x14ac:dyDescent="0.2">
      <c r="F879" s="31"/>
      <c r="G879" s="31"/>
      <c r="H879" s="31"/>
    </row>
    <row r="880" spans="6:8" ht="12.75" customHeight="1" x14ac:dyDescent="0.2">
      <c r="F880" s="31"/>
      <c r="G880" s="31"/>
      <c r="H880" s="31"/>
    </row>
    <row r="881" spans="6:8" ht="12.75" customHeight="1" x14ac:dyDescent="0.2">
      <c r="F881" s="31"/>
      <c r="G881" s="31"/>
      <c r="H881" s="31"/>
    </row>
    <row r="882" spans="6:8" ht="12.75" customHeight="1" x14ac:dyDescent="0.2">
      <c r="F882" s="31"/>
      <c r="G882" s="31"/>
      <c r="H882" s="31"/>
    </row>
    <row r="883" spans="6:8" ht="12.75" customHeight="1" x14ac:dyDescent="0.2">
      <c r="F883" s="31"/>
      <c r="G883" s="31"/>
      <c r="H883" s="31"/>
    </row>
    <row r="884" spans="6:8" ht="12.75" customHeight="1" x14ac:dyDescent="0.2">
      <c r="F884" s="31"/>
      <c r="G884" s="31"/>
      <c r="H884" s="31"/>
    </row>
    <row r="885" spans="6:8" ht="12.75" customHeight="1" x14ac:dyDescent="0.2">
      <c r="F885" s="31"/>
      <c r="G885" s="31"/>
      <c r="H885" s="31"/>
    </row>
    <row r="886" spans="6:8" ht="12.75" customHeight="1" x14ac:dyDescent="0.2">
      <c r="F886" s="31"/>
      <c r="G886" s="31"/>
      <c r="H886" s="31"/>
    </row>
    <row r="887" spans="6:8" ht="12.75" customHeight="1" x14ac:dyDescent="0.2">
      <c r="F887" s="31"/>
      <c r="G887" s="31"/>
      <c r="H887" s="31"/>
    </row>
    <row r="888" spans="6:8" ht="12.75" customHeight="1" x14ac:dyDescent="0.2">
      <c r="F888" s="31"/>
      <c r="G888" s="31"/>
      <c r="H888" s="31"/>
    </row>
    <row r="889" spans="6:8" ht="12.75" customHeight="1" x14ac:dyDescent="0.2">
      <c r="F889" s="31"/>
      <c r="G889" s="31"/>
      <c r="H889" s="31"/>
    </row>
    <row r="890" spans="6:8" ht="12.75" customHeight="1" x14ac:dyDescent="0.2">
      <c r="F890" s="31"/>
      <c r="G890" s="31"/>
      <c r="H890" s="31"/>
    </row>
    <row r="891" spans="6:8" ht="12.75" customHeight="1" x14ac:dyDescent="0.2">
      <c r="F891" s="31"/>
      <c r="G891" s="31"/>
      <c r="H891" s="31"/>
    </row>
    <row r="892" spans="6:8" ht="12.75" customHeight="1" x14ac:dyDescent="0.2">
      <c r="F892" s="31"/>
      <c r="G892" s="31"/>
      <c r="H892" s="31"/>
    </row>
    <row r="893" spans="6:8" ht="12.75" customHeight="1" x14ac:dyDescent="0.2">
      <c r="F893" s="31"/>
      <c r="G893" s="31"/>
      <c r="H893" s="31"/>
    </row>
    <row r="894" spans="6:8" ht="12.75" customHeight="1" x14ac:dyDescent="0.2">
      <c r="F894" s="31"/>
      <c r="G894" s="31"/>
      <c r="H894" s="31"/>
    </row>
    <row r="895" spans="6:8" ht="12.75" customHeight="1" x14ac:dyDescent="0.2">
      <c r="F895" s="31"/>
      <c r="G895" s="31"/>
      <c r="H895" s="31"/>
    </row>
    <row r="896" spans="6:8" ht="12.75" customHeight="1" x14ac:dyDescent="0.2">
      <c r="F896" s="31"/>
      <c r="G896" s="31"/>
      <c r="H896" s="31"/>
    </row>
    <row r="897" spans="6:8" ht="12.75" customHeight="1" x14ac:dyDescent="0.2">
      <c r="F897" s="31"/>
      <c r="G897" s="31"/>
      <c r="H897" s="31"/>
    </row>
    <row r="898" spans="6:8" ht="12.75" customHeight="1" x14ac:dyDescent="0.2">
      <c r="F898" s="31"/>
      <c r="G898" s="31"/>
      <c r="H898" s="31"/>
    </row>
    <row r="899" spans="6:8" ht="12.75" customHeight="1" x14ac:dyDescent="0.2">
      <c r="F899" s="31"/>
      <c r="G899" s="31"/>
      <c r="H899" s="31"/>
    </row>
    <row r="900" spans="6:8" ht="12.75" customHeight="1" x14ac:dyDescent="0.2">
      <c r="F900" s="31"/>
      <c r="G900" s="31"/>
      <c r="H900" s="31"/>
    </row>
    <row r="901" spans="6:8" ht="12.75" customHeight="1" x14ac:dyDescent="0.2">
      <c r="F901" s="31"/>
      <c r="G901" s="31"/>
      <c r="H901" s="31"/>
    </row>
    <row r="902" spans="6:8" ht="12.75" customHeight="1" x14ac:dyDescent="0.2">
      <c r="F902" s="31"/>
      <c r="G902" s="31"/>
      <c r="H902" s="31"/>
    </row>
    <row r="903" spans="6:8" ht="12.75" customHeight="1" x14ac:dyDescent="0.2">
      <c r="F903" s="31"/>
      <c r="G903" s="31"/>
      <c r="H903" s="31"/>
    </row>
    <row r="904" spans="6:8" ht="12.75" customHeight="1" x14ac:dyDescent="0.2">
      <c r="F904" s="31"/>
      <c r="G904" s="31"/>
      <c r="H904" s="31"/>
    </row>
    <row r="905" spans="6:8" ht="12.75" customHeight="1" x14ac:dyDescent="0.2">
      <c r="F905" s="31"/>
      <c r="G905" s="31"/>
      <c r="H905" s="31"/>
    </row>
    <row r="906" spans="6:8" ht="12.75" customHeight="1" x14ac:dyDescent="0.2">
      <c r="F906" s="31"/>
      <c r="G906" s="31"/>
      <c r="H906" s="31"/>
    </row>
    <row r="907" spans="6:8" ht="12.75" customHeight="1" x14ac:dyDescent="0.2">
      <c r="F907" s="31"/>
      <c r="G907" s="31"/>
      <c r="H907" s="31"/>
    </row>
    <row r="908" spans="6:8" ht="12.75" customHeight="1" x14ac:dyDescent="0.2">
      <c r="F908" s="31"/>
      <c r="G908" s="31"/>
      <c r="H908" s="31"/>
    </row>
    <row r="909" spans="6:8" ht="12.75" customHeight="1" x14ac:dyDescent="0.2">
      <c r="F909" s="31"/>
      <c r="G909" s="31"/>
      <c r="H909" s="31"/>
    </row>
    <row r="910" spans="6:8" ht="12.75" customHeight="1" x14ac:dyDescent="0.2">
      <c r="F910" s="31"/>
      <c r="G910" s="31"/>
      <c r="H910" s="31"/>
    </row>
    <row r="911" spans="6:8" ht="12.75" customHeight="1" x14ac:dyDescent="0.2">
      <c r="F911" s="31"/>
      <c r="G911" s="31"/>
      <c r="H911" s="31"/>
    </row>
    <row r="912" spans="6:8" ht="12.75" customHeight="1" x14ac:dyDescent="0.2">
      <c r="F912" s="31"/>
      <c r="G912" s="31"/>
      <c r="H912" s="31"/>
    </row>
    <row r="913" spans="6:8" ht="12.75" customHeight="1" x14ac:dyDescent="0.2">
      <c r="F913" s="31"/>
      <c r="G913" s="31"/>
      <c r="H913" s="31"/>
    </row>
    <row r="914" spans="6:8" ht="12.75" customHeight="1" x14ac:dyDescent="0.2">
      <c r="F914" s="31"/>
      <c r="G914" s="31"/>
      <c r="H914" s="31"/>
    </row>
    <row r="915" spans="6:8" ht="12.75" customHeight="1" x14ac:dyDescent="0.2">
      <c r="F915" s="31"/>
      <c r="G915" s="31"/>
      <c r="H915" s="31"/>
    </row>
    <row r="916" spans="6:8" ht="12.75" customHeight="1" x14ac:dyDescent="0.2">
      <c r="F916" s="31"/>
      <c r="G916" s="31"/>
      <c r="H916" s="31"/>
    </row>
    <row r="917" spans="6:8" ht="12.75" customHeight="1" x14ac:dyDescent="0.2">
      <c r="F917" s="31"/>
      <c r="G917" s="31"/>
      <c r="H917" s="31"/>
    </row>
    <row r="918" spans="6:8" ht="12.75" customHeight="1" x14ac:dyDescent="0.2">
      <c r="F918" s="31"/>
      <c r="G918" s="31"/>
      <c r="H918" s="31"/>
    </row>
    <row r="919" spans="6:8" ht="12.75" customHeight="1" x14ac:dyDescent="0.2">
      <c r="F919" s="31"/>
      <c r="G919" s="31"/>
      <c r="H919" s="31"/>
    </row>
    <row r="920" spans="6:8" ht="12.75" customHeight="1" x14ac:dyDescent="0.2">
      <c r="F920" s="31"/>
      <c r="G920" s="31"/>
      <c r="H920" s="31"/>
    </row>
    <row r="921" spans="6:8" ht="12.75" customHeight="1" x14ac:dyDescent="0.2">
      <c r="F921" s="31"/>
      <c r="G921" s="31"/>
      <c r="H921" s="31"/>
    </row>
    <row r="922" spans="6:8" ht="12.75" customHeight="1" x14ac:dyDescent="0.2">
      <c r="F922" s="31"/>
      <c r="G922" s="31"/>
      <c r="H922" s="31"/>
    </row>
    <row r="923" spans="6:8" ht="12.75" customHeight="1" x14ac:dyDescent="0.2">
      <c r="F923" s="31"/>
      <c r="G923" s="31"/>
      <c r="H923" s="31"/>
    </row>
    <row r="924" spans="6:8" ht="12.75" customHeight="1" x14ac:dyDescent="0.2">
      <c r="F924" s="31"/>
      <c r="G924" s="31"/>
      <c r="H924" s="31"/>
    </row>
    <row r="925" spans="6:8" ht="12.75" customHeight="1" x14ac:dyDescent="0.2">
      <c r="F925" s="31"/>
      <c r="G925" s="31"/>
      <c r="H925" s="31"/>
    </row>
    <row r="926" spans="6:8" ht="12.75" customHeight="1" x14ac:dyDescent="0.2">
      <c r="F926" s="31"/>
      <c r="G926" s="31"/>
      <c r="H926" s="31"/>
    </row>
    <row r="927" spans="6:8" ht="12.75" customHeight="1" x14ac:dyDescent="0.2">
      <c r="F927" s="31"/>
      <c r="G927" s="31"/>
      <c r="H927" s="31"/>
    </row>
    <row r="928" spans="6:8" ht="12.75" customHeight="1" x14ac:dyDescent="0.2">
      <c r="F928" s="31"/>
      <c r="G928" s="31"/>
      <c r="H928" s="31"/>
    </row>
    <row r="929" spans="6:8" ht="12.75" customHeight="1" x14ac:dyDescent="0.2">
      <c r="F929" s="31"/>
      <c r="G929" s="31"/>
      <c r="H929" s="31"/>
    </row>
    <row r="930" spans="6:8" ht="12.75" customHeight="1" x14ac:dyDescent="0.2">
      <c r="F930" s="31"/>
      <c r="G930" s="31"/>
      <c r="H930" s="31"/>
    </row>
    <row r="931" spans="6:8" ht="12.75" customHeight="1" x14ac:dyDescent="0.2">
      <c r="F931" s="31"/>
      <c r="G931" s="31"/>
      <c r="H931" s="31"/>
    </row>
    <row r="932" spans="6:8" ht="12.75" customHeight="1" x14ac:dyDescent="0.2">
      <c r="F932" s="31"/>
      <c r="G932" s="31"/>
      <c r="H932" s="31"/>
    </row>
    <row r="933" spans="6:8" ht="12.75" customHeight="1" x14ac:dyDescent="0.2">
      <c r="F933" s="31"/>
      <c r="G933" s="31"/>
      <c r="H933" s="31"/>
    </row>
    <row r="934" spans="6:8" ht="12.75" customHeight="1" x14ac:dyDescent="0.2">
      <c r="F934" s="31"/>
      <c r="G934" s="31"/>
      <c r="H934" s="31"/>
    </row>
    <row r="935" spans="6:8" ht="12.75" customHeight="1" x14ac:dyDescent="0.2"/>
    <row r="936" spans="6:8" ht="12.75" customHeight="1" x14ac:dyDescent="0.2"/>
    <row r="937" spans="6:8" ht="12.75" customHeight="1" x14ac:dyDescent="0.2"/>
    <row r="938" spans="6:8" ht="12.75" customHeight="1" x14ac:dyDescent="0.2"/>
    <row r="939" spans="6:8" ht="12.75" customHeight="1" x14ac:dyDescent="0.2"/>
    <row r="940" spans="6:8" ht="12.75" customHeight="1" x14ac:dyDescent="0.2"/>
    <row r="941" spans="6:8" ht="12.75" customHeight="1" x14ac:dyDescent="0.2"/>
    <row r="942" spans="6:8" ht="12.75" customHeight="1" x14ac:dyDescent="0.2"/>
    <row r="943" spans="6:8" ht="12.75" customHeight="1" x14ac:dyDescent="0.2"/>
    <row r="944" spans="6:8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</sheetData>
  <dataValidations disablePrompts="1" count="1">
    <dataValidation type="list" allowBlank="1" showErrorMessage="1" sqref="F1" xr:uid="{00000000-0002-0000-0B00-000001000000}">
      <formula1>Years</formula1>
    </dataValidation>
  </dataValidations>
  <pageMargins left="0.75" right="0.75" top="1" bottom="1" header="0" footer="0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0C639-83C9-4C50-A02F-EF9EC12FC01C}">
  <sheetPr codeName="Sheet5"/>
  <dimension ref="A1:L11"/>
  <sheetViews>
    <sheetView workbookViewId="0">
      <selection activeCell="L4" sqref="L4"/>
    </sheetView>
  </sheetViews>
  <sheetFormatPr defaultRowHeight="12.75" x14ac:dyDescent="0.2"/>
  <cols>
    <col min="1" max="4" width="10.7109375" customWidth="1"/>
    <col min="5" max="5" width="30.7109375" customWidth="1"/>
    <col min="6" max="9" width="14.7109375" customWidth="1"/>
  </cols>
  <sheetData>
    <row r="1" spans="1:12" x14ac:dyDescent="0.2">
      <c r="D1" t="s">
        <v>107</v>
      </c>
      <c r="E1" t="s">
        <v>683</v>
      </c>
      <c r="G1" t="s">
        <v>104</v>
      </c>
    </row>
    <row r="2" spans="1:12" x14ac:dyDescent="0.2">
      <c r="D2" t="s">
        <v>114</v>
      </c>
      <c r="E2" t="s">
        <v>684</v>
      </c>
      <c r="G2">
        <v>4</v>
      </c>
      <c r="I2" t="s">
        <v>41</v>
      </c>
      <c r="J2" s="40" t="s">
        <v>712</v>
      </c>
      <c r="K2" s="50" t="s">
        <v>50</v>
      </c>
      <c r="L2" s="50" t="s">
        <v>704</v>
      </c>
    </row>
    <row r="3" spans="1:12" x14ac:dyDescent="0.2">
      <c r="A3">
        <f>COUNTIF(A5:A65347, "&lt;&gt;")</f>
        <v>7</v>
      </c>
      <c r="B3">
        <f>MAX(B5:B852)</f>
        <v>2023</v>
      </c>
      <c r="D3" s="91">
        <f>INDEX(D5:D65346, A3)</f>
        <v>45021</v>
      </c>
      <c r="G3" t="s">
        <v>40</v>
      </c>
      <c r="H3" s="69">
        <f>INDEX(H5:H65343, A3)</f>
        <v>0</v>
      </c>
      <c r="I3" s="89">
        <v>45078</v>
      </c>
      <c r="J3" s="64">
        <v>5</v>
      </c>
      <c r="K3" s="92">
        <v>35</v>
      </c>
      <c r="L3" s="92">
        <v>1650</v>
      </c>
    </row>
    <row r="4" spans="1:12" x14ac:dyDescent="0.2">
      <c r="A4" s="90" t="s">
        <v>42</v>
      </c>
      <c r="B4" s="90" t="s">
        <v>10</v>
      </c>
      <c r="C4" s="90" t="s">
        <v>54</v>
      </c>
      <c r="D4" s="90" t="s">
        <v>43</v>
      </c>
      <c r="E4" s="90" t="s">
        <v>44</v>
      </c>
      <c r="F4" s="90" t="s">
        <v>45</v>
      </c>
      <c r="G4" s="90" t="s">
        <v>46</v>
      </c>
      <c r="H4" s="90" t="s">
        <v>47</v>
      </c>
      <c r="I4" s="90" t="s">
        <v>676</v>
      </c>
    </row>
    <row r="5" spans="1:12" x14ac:dyDescent="0.2">
      <c r="A5">
        <v>6</v>
      </c>
      <c r="B5">
        <v>2023</v>
      </c>
      <c r="C5" t="str">
        <f t="shared" ref="C5:C10" si="0">IFERROR("Late Fee "&amp;FIND("Late Fee",E5),IFERROR("Internet "&amp;FIND("Internet",E5),IFERROR("Utilities "&amp;FIND("Utilities",E5),IFERROR("Rent: "&amp;FIND("Rent",E5),IFERROR("Priv Tax: "&amp;FIND("Tax",E5),IFERROR("Income: "&amp;FIND("Payment",E5,1),""))))))</f>
        <v/>
      </c>
      <c r="D5" t="s">
        <v>685</v>
      </c>
      <c r="E5" t="s">
        <v>686</v>
      </c>
      <c r="F5" s="69">
        <v>0</v>
      </c>
      <c r="G5" s="69">
        <v>0</v>
      </c>
      <c r="H5" s="69">
        <f xml:space="preserve"> G5 - F5</f>
        <v>0</v>
      </c>
      <c r="I5">
        <v>3733</v>
      </c>
    </row>
    <row r="6" spans="1:12" x14ac:dyDescent="0.2">
      <c r="A6">
        <v>3</v>
      </c>
      <c r="B6">
        <v>2023</v>
      </c>
      <c r="C6" t="str">
        <f t="shared" si="0"/>
        <v>Rent: 1</v>
      </c>
      <c r="D6" s="91" t="s">
        <v>687</v>
      </c>
      <c r="E6" s="46" t="s">
        <v>689</v>
      </c>
      <c r="F6" s="69">
        <v>0</v>
      </c>
      <c r="G6" s="69">
        <v>1650</v>
      </c>
      <c r="H6" s="69">
        <f t="shared" ref="H6:H11" si="1" xml:space="preserve"> H5 + G6 - F6</f>
        <v>1650</v>
      </c>
      <c r="I6">
        <v>3735</v>
      </c>
    </row>
    <row r="7" spans="1:12" x14ac:dyDescent="0.2">
      <c r="A7">
        <v>3</v>
      </c>
      <c r="B7">
        <v>2023</v>
      </c>
      <c r="C7" t="str">
        <f t="shared" si="0"/>
        <v>Income: 1</v>
      </c>
      <c r="D7" t="s">
        <v>691</v>
      </c>
      <c r="E7" t="s">
        <v>62</v>
      </c>
      <c r="F7" s="69">
        <v>1650</v>
      </c>
      <c r="G7" s="69">
        <v>0</v>
      </c>
      <c r="H7" s="69">
        <f t="shared" si="1"/>
        <v>0</v>
      </c>
      <c r="I7">
        <v>3736</v>
      </c>
    </row>
    <row r="8" spans="1:12" x14ac:dyDescent="0.2">
      <c r="A8">
        <v>3</v>
      </c>
      <c r="B8">
        <v>2023</v>
      </c>
      <c r="C8" t="str">
        <f t="shared" si="0"/>
        <v/>
      </c>
      <c r="D8" t="s">
        <v>692</v>
      </c>
      <c r="E8" t="s">
        <v>693</v>
      </c>
      <c r="F8" s="69">
        <v>0</v>
      </c>
      <c r="G8" s="69">
        <v>300</v>
      </c>
      <c r="H8" s="69">
        <f t="shared" si="1"/>
        <v>300</v>
      </c>
      <c r="I8">
        <v>3737</v>
      </c>
    </row>
    <row r="9" spans="1:12" x14ac:dyDescent="0.2">
      <c r="A9">
        <v>4</v>
      </c>
      <c r="B9">
        <v>2023</v>
      </c>
      <c r="C9" t="str">
        <f t="shared" si="0"/>
        <v/>
      </c>
      <c r="D9" t="s">
        <v>694</v>
      </c>
      <c r="E9" t="s">
        <v>695</v>
      </c>
      <c r="F9" s="69">
        <v>300</v>
      </c>
      <c r="G9" s="69">
        <v>0</v>
      </c>
      <c r="H9" s="69">
        <f t="shared" si="1"/>
        <v>0</v>
      </c>
      <c r="I9">
        <v>3739</v>
      </c>
    </row>
    <row r="10" spans="1:12" x14ac:dyDescent="0.2">
      <c r="A10">
        <v>4</v>
      </c>
      <c r="B10">
        <v>2023</v>
      </c>
      <c r="C10" t="str">
        <f t="shared" si="0"/>
        <v>Rent: 1</v>
      </c>
      <c r="D10" s="91">
        <v>45017</v>
      </c>
      <c r="E10" t="s">
        <v>696</v>
      </c>
      <c r="F10" s="69">
        <v>0</v>
      </c>
      <c r="G10" s="69">
        <v>1650</v>
      </c>
      <c r="H10" s="69">
        <f t="shared" si="1"/>
        <v>1650</v>
      </c>
      <c r="I10">
        <v>3742</v>
      </c>
    </row>
    <row r="11" spans="1:12" x14ac:dyDescent="0.2">
      <c r="A11">
        <v>4</v>
      </c>
      <c r="B11">
        <v>2023</v>
      </c>
      <c r="C11" t="str">
        <f>IFERROR("Late Fee "&amp;FIND("Late Fee",E11),IFERROR("Internet "&amp;FIND("Internet",E11),IFERROR("Utilities "&amp;FIND("Utilities",E11),IFERROR("Rent: "&amp;FIND("Rent",E11),IFERROR("Priv Tax: "&amp;FIND("Tax",E11),IFERROR("Income: "&amp;FIND("Payment",E11,1),""))))))</f>
        <v>Rent: 1</v>
      </c>
      <c r="D11" s="91">
        <v>45021</v>
      </c>
      <c r="E11" t="s">
        <v>709</v>
      </c>
      <c r="F11" s="69">
        <v>1650</v>
      </c>
      <c r="G11" s="69">
        <v>0</v>
      </c>
      <c r="H11" s="69">
        <f t="shared" si="1"/>
        <v>0</v>
      </c>
      <c r="I11">
        <v>3760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F81C0-1E8F-4CC8-834C-82AEB97CF7D6}">
  <sheetPr codeName="Sheet19"/>
  <dimension ref="A1:L10"/>
  <sheetViews>
    <sheetView workbookViewId="0"/>
  </sheetViews>
  <sheetFormatPr defaultRowHeight="12.75" x14ac:dyDescent="0.2"/>
  <cols>
    <col min="1" max="4" width="10.7109375" customWidth="1"/>
    <col min="5" max="5" width="30.7109375" customWidth="1"/>
    <col min="6" max="9" width="14.7109375" customWidth="1"/>
    <col min="12" max="12" width="15.7109375" customWidth="1"/>
  </cols>
  <sheetData>
    <row r="1" spans="1:12" x14ac:dyDescent="0.2">
      <c r="D1" t="s">
        <v>107</v>
      </c>
      <c r="E1" t="s">
        <v>719</v>
      </c>
      <c r="G1" t="s">
        <v>104</v>
      </c>
    </row>
    <row r="2" spans="1:12" x14ac:dyDescent="0.2">
      <c r="D2" t="s">
        <v>114</v>
      </c>
      <c r="E2" t="s">
        <v>720</v>
      </c>
      <c r="G2">
        <v>6</v>
      </c>
      <c r="I2" t="s">
        <v>41</v>
      </c>
      <c r="J2" t="s">
        <v>712</v>
      </c>
      <c r="K2" t="s">
        <v>50</v>
      </c>
      <c r="L2" t="s">
        <v>704</v>
      </c>
    </row>
    <row r="3" spans="1:12" x14ac:dyDescent="0.2">
      <c r="A3">
        <f>COUNTIF(A5:A65347, "&lt;&gt;")</f>
        <v>6</v>
      </c>
      <c r="B3">
        <f>MAX(B5:B852)</f>
        <v>2024</v>
      </c>
      <c r="D3" s="89">
        <f>INDEX(D5:D65346, A3)</f>
        <v>45021</v>
      </c>
      <c r="G3" t="s">
        <v>40</v>
      </c>
      <c r="H3" s="69">
        <f>INDEX(H5:H65343, A3)</f>
        <v>2287.5</v>
      </c>
      <c r="I3" s="89">
        <v>45602</v>
      </c>
      <c r="J3">
        <v>2</v>
      </c>
      <c r="K3" s="69">
        <v>37.5</v>
      </c>
      <c r="L3" s="69">
        <v>2250</v>
      </c>
    </row>
    <row r="4" spans="1:12" x14ac:dyDescent="0.2">
      <c r="A4" s="90" t="s">
        <v>42</v>
      </c>
      <c r="B4" s="90" t="s">
        <v>10</v>
      </c>
      <c r="C4" s="90" t="s">
        <v>54</v>
      </c>
      <c r="D4" s="90" t="s">
        <v>43</v>
      </c>
      <c r="E4" s="90" t="s">
        <v>44</v>
      </c>
      <c r="F4" s="90" t="s">
        <v>45</v>
      </c>
      <c r="G4" s="90" t="s">
        <v>46</v>
      </c>
      <c r="H4" s="90" t="s">
        <v>47</v>
      </c>
      <c r="I4" s="90" t="s">
        <v>676</v>
      </c>
    </row>
    <row r="5" spans="1:12" x14ac:dyDescent="0.2">
      <c r="A5">
        <v>11</v>
      </c>
      <c r="B5">
        <v>2024</v>
      </c>
      <c r="C5" t="str">
        <f t="shared" ref="C5:C10" si="0">IFERROR("Late Fee "&amp;FIND("Late Fee",E5),IFERROR("Internet "&amp;FIND("Internet",E5),IFERROR("Utilities "&amp;FIND("Utilities",E5),IFERROR("Rent: "&amp;FIND("Rent",E5),IFERROR("Priv Tax: "&amp;FIND("Tax",E5),IFERROR("Income: "&amp;FIND("Payment",E5,1),""))))))</f>
        <v/>
      </c>
      <c r="D5" s="91">
        <v>45602</v>
      </c>
      <c r="E5" t="s">
        <v>686</v>
      </c>
      <c r="F5" s="69">
        <v>0</v>
      </c>
      <c r="G5" s="69">
        <v>0</v>
      </c>
      <c r="H5" s="69">
        <f xml:space="preserve"> G5 - F5</f>
        <v>0</v>
      </c>
      <c r="I5">
        <v>3763</v>
      </c>
    </row>
    <row r="6" spans="1:12" x14ac:dyDescent="0.2">
      <c r="A6">
        <v>4</v>
      </c>
      <c r="B6">
        <v>2023</v>
      </c>
      <c r="C6" t="str">
        <f t="shared" si="0"/>
        <v>Rent: 1</v>
      </c>
      <c r="D6" s="91">
        <v>45018</v>
      </c>
      <c r="E6" t="s">
        <v>715</v>
      </c>
      <c r="F6" s="69">
        <v>0</v>
      </c>
      <c r="G6" s="69">
        <v>2250</v>
      </c>
      <c r="H6" s="69">
        <f xml:space="preserve"> H5 + G6 - F6</f>
        <v>2250</v>
      </c>
      <c r="I6">
        <v>3764</v>
      </c>
    </row>
    <row r="7" spans="1:12" x14ac:dyDescent="0.2">
      <c r="A7">
        <v>4</v>
      </c>
      <c r="B7">
        <v>2023</v>
      </c>
      <c r="C7" t="str">
        <f t="shared" si="0"/>
        <v>Late Fee 1</v>
      </c>
      <c r="D7" s="91">
        <v>45019</v>
      </c>
      <c r="E7" t="s">
        <v>50</v>
      </c>
      <c r="F7" s="69">
        <v>0</v>
      </c>
      <c r="G7" s="69">
        <v>37.5</v>
      </c>
      <c r="H7" s="69">
        <f xml:space="preserve"> H6 + G7 - F7</f>
        <v>2287.5</v>
      </c>
      <c r="I7">
        <v>3765</v>
      </c>
    </row>
    <row r="8" spans="1:12" x14ac:dyDescent="0.2">
      <c r="A8">
        <v>4</v>
      </c>
      <c r="B8">
        <v>2023</v>
      </c>
      <c r="C8" t="str">
        <f t="shared" si="0"/>
        <v>Income: 1</v>
      </c>
      <c r="D8" s="91">
        <v>45023</v>
      </c>
      <c r="E8" t="s">
        <v>716</v>
      </c>
      <c r="F8" s="69">
        <v>2287.5</v>
      </c>
      <c r="G8" s="69">
        <v>0</v>
      </c>
      <c r="H8" s="69">
        <f xml:space="preserve"> H7 + G8 - F8</f>
        <v>0</v>
      </c>
      <c r="I8">
        <v>3766</v>
      </c>
    </row>
    <row r="9" spans="1:12" x14ac:dyDescent="0.2">
      <c r="A9">
        <v>5</v>
      </c>
      <c r="B9">
        <v>2023</v>
      </c>
      <c r="C9" t="str">
        <f t="shared" si="0"/>
        <v>Rent: 1</v>
      </c>
      <c r="D9" s="91">
        <v>45047</v>
      </c>
      <c r="E9" t="s">
        <v>717</v>
      </c>
      <c r="F9" s="69">
        <v>0</v>
      </c>
      <c r="G9" s="69">
        <v>2250</v>
      </c>
      <c r="H9" s="69">
        <f xml:space="preserve"> H8 + G9 - F9</f>
        <v>2250</v>
      </c>
      <c r="I9">
        <v>3767</v>
      </c>
    </row>
    <row r="10" spans="1:12" x14ac:dyDescent="0.2">
      <c r="A10">
        <v>4</v>
      </c>
      <c r="B10">
        <v>2023</v>
      </c>
      <c r="C10" t="str">
        <f t="shared" si="0"/>
        <v>Late Fee 1</v>
      </c>
      <c r="D10" s="91">
        <v>45021</v>
      </c>
      <c r="E10" t="s">
        <v>50</v>
      </c>
      <c r="F10" s="69">
        <v>0</v>
      </c>
      <c r="G10" s="69">
        <v>37.5</v>
      </c>
      <c r="H10" s="69">
        <f xml:space="preserve"> H9 + G10 - F10</f>
        <v>2287.5</v>
      </c>
      <c r="I10">
        <v>3768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2AABB-FCF8-4A3F-AB78-E2B18D452F1F}">
  <sheetPr codeName="Sheet18"/>
  <dimension ref="A1:L6"/>
  <sheetViews>
    <sheetView workbookViewId="0">
      <selection activeCell="B22" sqref="B22"/>
    </sheetView>
  </sheetViews>
  <sheetFormatPr defaultRowHeight="12.75" x14ac:dyDescent="0.2"/>
  <cols>
    <col min="1" max="4" width="10.7109375" customWidth="1"/>
    <col min="5" max="5" width="30.7109375" customWidth="1"/>
    <col min="6" max="9" width="14.7109375" customWidth="1"/>
    <col min="12" max="12" width="15.85546875" customWidth="1"/>
  </cols>
  <sheetData>
    <row r="1" spans="1:12" x14ac:dyDescent="0.2">
      <c r="D1" t="s">
        <v>107</v>
      </c>
      <c r="E1" t="s">
        <v>713</v>
      </c>
      <c r="G1" t="s">
        <v>104</v>
      </c>
    </row>
    <row r="2" spans="1:12" x14ac:dyDescent="0.2">
      <c r="D2" t="s">
        <v>114</v>
      </c>
      <c r="E2" t="s">
        <v>714</v>
      </c>
      <c r="G2">
        <v>3</v>
      </c>
      <c r="I2" t="s">
        <v>41</v>
      </c>
      <c r="J2" t="s">
        <v>712</v>
      </c>
      <c r="K2" t="s">
        <v>50</v>
      </c>
      <c r="L2" t="s">
        <v>704</v>
      </c>
    </row>
    <row r="3" spans="1:12" x14ac:dyDescent="0.2">
      <c r="A3">
        <f>COUNTIF(A5:A65347, "&lt;&gt;")</f>
        <v>2</v>
      </c>
      <c r="B3">
        <f>MAX(B5:B852)</f>
        <v>2024</v>
      </c>
      <c r="D3" s="89">
        <f>INDEX(D5:D65346, A3)</f>
        <v>45022</v>
      </c>
      <c r="G3" t="s">
        <v>40</v>
      </c>
      <c r="H3" s="69">
        <f>INDEX(H5:H65343, A3)</f>
        <v>2100</v>
      </c>
      <c r="I3" s="89">
        <v>45633</v>
      </c>
      <c r="J3">
        <v>7</v>
      </c>
      <c r="K3" s="69">
        <v>45</v>
      </c>
      <c r="L3" s="69">
        <v>2100</v>
      </c>
    </row>
    <row r="4" spans="1:12" x14ac:dyDescent="0.2">
      <c r="A4" s="90" t="s">
        <v>42</v>
      </c>
      <c r="B4" s="90" t="s">
        <v>10</v>
      </c>
      <c r="C4" s="90" t="s">
        <v>54</v>
      </c>
      <c r="D4" s="90" t="s">
        <v>43</v>
      </c>
      <c r="E4" s="90" t="s">
        <v>44</v>
      </c>
      <c r="F4" s="90" t="s">
        <v>45</v>
      </c>
      <c r="G4" s="90" t="s">
        <v>46</v>
      </c>
      <c r="H4" s="90" t="s">
        <v>47</v>
      </c>
      <c r="I4" s="90" t="s">
        <v>676</v>
      </c>
    </row>
    <row r="5" spans="1:12" x14ac:dyDescent="0.2">
      <c r="A5">
        <v>12</v>
      </c>
      <c r="B5">
        <v>2024</v>
      </c>
      <c r="C5" t="str">
        <f>IFERROR("Late Fee "&amp;FIND("Late Fee",E5),IFERROR("Internet "&amp;FIND("Internet",E5),IFERROR("Utilities "&amp;FIND("Utilities",E5),IFERROR("Rent: "&amp;FIND("Rent",E5),IFERROR("Priv Tax: "&amp;FIND("Tax",E5),IFERROR("Income: "&amp;FIND("Payment",E5,1),""))))))</f>
        <v/>
      </c>
      <c r="D5" s="91">
        <v>45633</v>
      </c>
      <c r="E5" t="s">
        <v>686</v>
      </c>
      <c r="F5" s="69">
        <v>0</v>
      </c>
      <c r="G5" s="69">
        <v>0</v>
      </c>
      <c r="H5" s="69">
        <f xml:space="preserve"> G5 - F5</f>
        <v>0</v>
      </c>
      <c r="I5">
        <v>3762</v>
      </c>
    </row>
    <row r="6" spans="1:12" x14ac:dyDescent="0.2">
      <c r="A6">
        <v>4</v>
      </c>
      <c r="B6">
        <v>2023</v>
      </c>
      <c r="C6" t="str">
        <f>IFERROR("Late Fee "&amp;FIND("Late Fee",E6),IFERROR("Internet "&amp;FIND("Internet",E6),IFERROR("Utilities "&amp;FIND("Utilities",E6),IFERROR("Rent: "&amp;FIND("Rent",E6),IFERROR("Priv Tax: "&amp;FIND("Tax",E6),IFERROR("Income: "&amp;FIND("Payment",E6,1),""))))))</f>
        <v>Rent: 1</v>
      </c>
      <c r="D6" s="91">
        <v>45022</v>
      </c>
      <c r="E6" t="s">
        <v>704</v>
      </c>
      <c r="F6" s="69">
        <v>0</v>
      </c>
      <c r="G6" s="69">
        <v>2100</v>
      </c>
      <c r="H6" s="69">
        <f xml:space="preserve"> H5 + G6 - F6</f>
        <v>2100</v>
      </c>
      <c r="I6">
        <v>3771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Z1000"/>
  <sheetViews>
    <sheetView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K9" sqref="K9"/>
    </sheetView>
  </sheetViews>
  <sheetFormatPr defaultColWidth="12.5703125" defaultRowHeight="15" customHeight="1" x14ac:dyDescent="0.2"/>
  <cols>
    <col min="1" max="1" width="6.140625" customWidth="1"/>
    <col min="2" max="2" width="7.85546875" customWidth="1"/>
    <col min="3" max="3" width="9.42578125" customWidth="1"/>
    <col min="4" max="4" width="10.5703125" style="74" customWidth="1"/>
    <col min="5" max="5" width="36.28515625" customWidth="1"/>
    <col min="6" max="6" width="13.42578125" customWidth="1"/>
    <col min="7" max="8" width="14.7109375" customWidth="1"/>
    <col min="9" max="9" width="14.140625" bestFit="1" customWidth="1"/>
    <col min="10" max="10" width="14.42578125" customWidth="1"/>
    <col min="11" max="11" width="11" customWidth="1"/>
    <col min="12" max="12" width="15.140625" customWidth="1"/>
    <col min="13" max="13" width="11.85546875" customWidth="1"/>
    <col min="14" max="14" width="15.5703125" customWidth="1"/>
    <col min="15" max="26" width="8.5703125" customWidth="1"/>
  </cols>
  <sheetData>
    <row r="1" spans="1:26" ht="12.75" customHeight="1" x14ac:dyDescent="0.2">
      <c r="A1" s="43"/>
      <c r="B1" s="43"/>
      <c r="C1" s="43"/>
      <c r="D1" s="70" t="s">
        <v>107</v>
      </c>
      <c r="E1" t="s">
        <v>123</v>
      </c>
      <c r="F1" s="40"/>
      <c r="G1" s="40" t="s">
        <v>104</v>
      </c>
      <c r="H1" s="41"/>
      <c r="I1" s="40"/>
      <c r="J1" s="40"/>
      <c r="K1" s="49"/>
      <c r="L1" s="49"/>
      <c r="M1" s="43"/>
    </row>
    <row r="2" spans="1:26" ht="12.75" customHeight="1" x14ac:dyDescent="0.2">
      <c r="A2" s="43"/>
      <c r="B2" s="43"/>
      <c r="C2" s="43"/>
      <c r="D2" s="71" t="s">
        <v>114</v>
      </c>
      <c r="E2" t="s">
        <v>111</v>
      </c>
      <c r="F2" s="44"/>
      <c r="G2" s="40">
        <v>5</v>
      </c>
      <c r="H2" s="41"/>
      <c r="I2" s="40" t="s">
        <v>41</v>
      </c>
      <c r="J2" s="40" t="s">
        <v>712</v>
      </c>
      <c r="K2" s="50" t="s">
        <v>50</v>
      </c>
      <c r="L2" s="50" t="s">
        <v>704</v>
      </c>
      <c r="M2" s="43"/>
    </row>
    <row r="3" spans="1:26" ht="12.75" customHeight="1" x14ac:dyDescent="0.25">
      <c r="A3" s="45">
        <f>COUNTIF(A5:A65347, "&lt;&gt;")</f>
        <v>61</v>
      </c>
      <c r="B3" s="43">
        <f>MAX(B5:B852)</f>
        <v>2023</v>
      </c>
      <c r="C3" s="43"/>
      <c r="D3" s="83">
        <f t="array" ref="D3">INDEX(D5:D65346, A3)</f>
        <v>45022</v>
      </c>
      <c r="E3" s="59"/>
      <c r="F3" s="84"/>
      <c r="G3" s="85" t="s">
        <v>40</v>
      </c>
      <c r="H3" s="85" cm="1">
        <f t="array" ref="H3">INDEX(H5:H65343, A3)</f>
        <v>0</v>
      </c>
      <c r="I3" s="86">
        <v>45046</v>
      </c>
      <c r="J3" s="64">
        <v>5</v>
      </c>
      <c r="K3" s="92">
        <v>35</v>
      </c>
      <c r="L3" s="92">
        <v>1850</v>
      </c>
      <c r="M3" s="43"/>
    </row>
    <row r="4" spans="1:26" ht="12.75" customHeight="1" x14ac:dyDescent="0.2">
      <c r="A4" s="38" t="s">
        <v>42</v>
      </c>
      <c r="B4" s="38" t="s">
        <v>10</v>
      </c>
      <c r="C4" s="38" t="s">
        <v>54</v>
      </c>
      <c r="D4" s="72" t="s">
        <v>43</v>
      </c>
      <c r="E4" s="38" t="s">
        <v>44</v>
      </c>
      <c r="F4" s="42" t="s">
        <v>45</v>
      </c>
      <c r="G4" s="42" t="s">
        <v>46</v>
      </c>
      <c r="H4" s="55" t="s">
        <v>47</v>
      </c>
      <c r="I4" s="65" t="s">
        <v>676</v>
      </c>
      <c r="J4" s="64"/>
      <c r="K4" s="64"/>
      <c r="L4" s="61"/>
      <c r="M4" s="49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</row>
    <row r="5" spans="1:26" ht="12.75" customHeight="1" x14ac:dyDescent="0.25">
      <c r="A5" s="53">
        <v>4</v>
      </c>
      <c r="B5" s="53">
        <v>2021</v>
      </c>
      <c r="C5" s="53" t="str">
        <f t="shared" ref="C5:C36" si="0">IFERROR("Late Fee "&amp;FIND("Late Fee",E5),IFERROR("Internet "&amp;FIND("Internet",E5),IFERROR("Utilities "&amp;FIND("Utilities",E5),IFERROR("Rent: "&amp;FIND("Rent",E5),IFERROR("Priv Tax: "&amp;FIND("Tax",E5),IFERROR("Income: "&amp;FIND("Payment",E5,1),""))))))</f>
        <v/>
      </c>
      <c r="D5" s="73" t="s">
        <v>667</v>
      </c>
      <c r="E5" s="56" t="s">
        <v>48</v>
      </c>
      <c r="F5" s="58">
        <v>0</v>
      </c>
      <c r="G5" s="58">
        <v>1850</v>
      </c>
      <c r="H5" s="58">
        <f xml:space="preserve"> G5 - F5</f>
        <v>1850</v>
      </c>
      <c r="I5" s="43">
        <v>3676</v>
      </c>
      <c r="J5" s="43"/>
      <c r="K5" s="43"/>
      <c r="L5" s="43"/>
      <c r="M5" s="43"/>
    </row>
    <row r="6" spans="1:26" ht="12.75" customHeight="1" x14ac:dyDescent="0.25">
      <c r="A6" s="53">
        <v>4</v>
      </c>
      <c r="B6" s="53">
        <v>2021</v>
      </c>
      <c r="C6" s="53" t="str">
        <f t="shared" si="0"/>
        <v/>
      </c>
      <c r="D6" s="73" t="s">
        <v>667</v>
      </c>
      <c r="E6" s="56" t="s">
        <v>60</v>
      </c>
      <c r="F6" s="58">
        <v>0</v>
      </c>
      <c r="G6" s="58">
        <v>400</v>
      </c>
      <c r="H6" s="58">
        <f t="shared" ref="H6:H37" si="1" xml:space="preserve"> H5 + G6 - F6</f>
        <v>2250</v>
      </c>
      <c r="I6" s="43">
        <v>3677</v>
      </c>
      <c r="J6" s="43"/>
      <c r="K6" s="44"/>
      <c r="L6" s="40"/>
      <c r="M6" s="43"/>
      <c r="N6" s="14"/>
    </row>
    <row r="7" spans="1:26" ht="12.75" customHeight="1" x14ac:dyDescent="0.2">
      <c r="A7" s="53">
        <v>4</v>
      </c>
      <c r="B7" s="53">
        <v>2021</v>
      </c>
      <c r="C7" s="53" t="str">
        <f t="shared" si="0"/>
        <v>Income: 1</v>
      </c>
      <c r="D7" s="73" t="s">
        <v>667</v>
      </c>
      <c r="E7" s="53" t="s">
        <v>67</v>
      </c>
      <c r="F7" s="58">
        <v>1000</v>
      </c>
      <c r="G7" s="58">
        <v>0</v>
      </c>
      <c r="H7" s="58">
        <f t="shared" si="1"/>
        <v>1250</v>
      </c>
      <c r="I7" s="43">
        <v>3678</v>
      </c>
      <c r="J7" s="43"/>
      <c r="K7" s="44"/>
      <c r="L7" s="40"/>
      <c r="M7" s="44"/>
    </row>
    <row r="8" spans="1:26" ht="12.75" customHeight="1" x14ac:dyDescent="0.2">
      <c r="A8" s="53">
        <v>5</v>
      </c>
      <c r="B8" s="53">
        <v>2021</v>
      </c>
      <c r="C8" s="53" t="str">
        <f t="shared" si="0"/>
        <v>Rent: 1</v>
      </c>
      <c r="D8" s="73" t="s">
        <v>409</v>
      </c>
      <c r="E8" s="53" t="s">
        <v>172</v>
      </c>
      <c r="F8" s="58">
        <v>0</v>
      </c>
      <c r="G8" s="58">
        <v>1850</v>
      </c>
      <c r="H8" s="58">
        <f t="shared" si="1"/>
        <v>3100</v>
      </c>
      <c r="I8" s="43">
        <v>3679</v>
      </c>
      <c r="J8" s="43"/>
      <c r="K8" s="44"/>
      <c r="L8" s="43"/>
      <c r="M8" s="44"/>
    </row>
    <row r="9" spans="1:26" ht="12.75" customHeight="1" x14ac:dyDescent="0.2">
      <c r="A9" s="53">
        <v>4</v>
      </c>
      <c r="B9" s="53">
        <v>2021</v>
      </c>
      <c r="C9" s="53" t="str">
        <f t="shared" si="0"/>
        <v>Income: 1</v>
      </c>
      <c r="D9" s="73" t="s">
        <v>668</v>
      </c>
      <c r="E9" s="53" t="s">
        <v>61</v>
      </c>
      <c r="F9" s="58">
        <v>1500</v>
      </c>
      <c r="G9" s="58">
        <v>0</v>
      </c>
      <c r="H9" s="58">
        <f t="shared" si="1"/>
        <v>1600</v>
      </c>
      <c r="I9" s="45">
        <v>3680</v>
      </c>
      <c r="J9" s="43"/>
      <c r="K9" s="44"/>
      <c r="L9" s="43"/>
      <c r="M9" s="43"/>
    </row>
    <row r="10" spans="1:26" ht="12.75" customHeight="1" x14ac:dyDescent="0.2">
      <c r="A10" s="53">
        <v>4</v>
      </c>
      <c r="B10" s="53">
        <v>2021</v>
      </c>
      <c r="C10" s="53" t="str">
        <f t="shared" si="0"/>
        <v>Income: 1</v>
      </c>
      <c r="D10" s="73" t="s">
        <v>410</v>
      </c>
      <c r="E10" s="53" t="s">
        <v>61</v>
      </c>
      <c r="F10" s="58">
        <v>1600</v>
      </c>
      <c r="G10" s="58">
        <v>0</v>
      </c>
      <c r="H10" s="58">
        <f t="shared" si="1"/>
        <v>0</v>
      </c>
      <c r="I10" s="43">
        <v>3681</v>
      </c>
      <c r="J10" s="43"/>
      <c r="K10" s="44"/>
      <c r="L10" s="43"/>
      <c r="M10" s="44"/>
    </row>
    <row r="11" spans="1:26" ht="12.75" customHeight="1" x14ac:dyDescent="0.25">
      <c r="A11" s="53">
        <v>5</v>
      </c>
      <c r="B11" s="53">
        <v>2021</v>
      </c>
      <c r="C11" s="53" t="str">
        <f t="shared" si="0"/>
        <v/>
      </c>
      <c r="D11" s="73" t="s">
        <v>411</v>
      </c>
      <c r="E11" s="56" t="s">
        <v>86</v>
      </c>
      <c r="F11" s="58">
        <v>0</v>
      </c>
      <c r="G11" s="58">
        <v>300</v>
      </c>
      <c r="H11" s="58">
        <f t="shared" si="1"/>
        <v>300</v>
      </c>
      <c r="I11" s="43">
        <v>3682</v>
      </c>
      <c r="J11" s="43"/>
      <c r="K11" s="44"/>
      <c r="L11" s="43"/>
      <c r="M11" s="44"/>
      <c r="O11" s="50"/>
    </row>
    <row r="12" spans="1:26" ht="12.75" customHeight="1" x14ac:dyDescent="0.2">
      <c r="A12" s="53">
        <v>5</v>
      </c>
      <c r="B12" s="53">
        <v>2021</v>
      </c>
      <c r="C12" s="53" t="str">
        <f t="shared" si="0"/>
        <v>Income: 1</v>
      </c>
      <c r="D12" s="73" t="s">
        <v>173</v>
      </c>
      <c r="E12" s="53" t="s">
        <v>61</v>
      </c>
      <c r="F12" s="58">
        <v>300</v>
      </c>
      <c r="G12" s="58">
        <v>0</v>
      </c>
      <c r="H12" s="58">
        <f t="shared" si="1"/>
        <v>0</v>
      </c>
      <c r="I12" s="43">
        <v>3683</v>
      </c>
      <c r="J12" s="43"/>
      <c r="K12" s="44"/>
      <c r="L12" s="43"/>
      <c r="M12" s="44"/>
      <c r="N12" s="31"/>
      <c r="O12" s="54"/>
    </row>
    <row r="13" spans="1:26" ht="12.75" customHeight="1" x14ac:dyDescent="0.2">
      <c r="A13" s="53">
        <v>6</v>
      </c>
      <c r="B13" s="53">
        <v>2021</v>
      </c>
      <c r="C13" s="53" t="str">
        <f t="shared" si="0"/>
        <v>Rent: 1</v>
      </c>
      <c r="D13" s="73" t="s">
        <v>412</v>
      </c>
      <c r="E13" s="53" t="s">
        <v>175</v>
      </c>
      <c r="F13" s="58">
        <v>0</v>
      </c>
      <c r="G13" s="58">
        <v>1850</v>
      </c>
      <c r="H13" s="58">
        <f t="shared" si="1"/>
        <v>1850</v>
      </c>
      <c r="I13" s="43">
        <v>3684</v>
      </c>
      <c r="J13" s="43"/>
      <c r="K13" s="43"/>
      <c r="L13" s="40"/>
      <c r="M13" s="43"/>
    </row>
    <row r="14" spans="1:26" ht="12.75" customHeight="1" x14ac:dyDescent="0.2">
      <c r="A14" s="53">
        <v>5</v>
      </c>
      <c r="B14" s="53">
        <v>2021</v>
      </c>
      <c r="C14" s="53" t="str">
        <f t="shared" si="0"/>
        <v>Income: 1</v>
      </c>
      <c r="D14" s="73" t="s">
        <v>594</v>
      </c>
      <c r="E14" s="53" t="s">
        <v>62</v>
      </c>
      <c r="F14" s="58">
        <v>1850</v>
      </c>
      <c r="G14" s="58">
        <v>0</v>
      </c>
      <c r="H14" s="58">
        <f t="shared" si="1"/>
        <v>0</v>
      </c>
      <c r="I14" s="43">
        <v>3685</v>
      </c>
      <c r="J14" s="43"/>
      <c r="K14" s="43"/>
      <c r="L14" s="43"/>
      <c r="M14" s="43"/>
    </row>
    <row r="15" spans="1:26" ht="12.75" customHeight="1" x14ac:dyDescent="0.2">
      <c r="A15" s="53">
        <v>7</v>
      </c>
      <c r="B15" s="53">
        <v>2021</v>
      </c>
      <c r="C15" s="53" t="str">
        <f t="shared" si="0"/>
        <v>Rent: 1</v>
      </c>
      <c r="D15" s="73" t="s">
        <v>413</v>
      </c>
      <c r="E15" s="53" t="s">
        <v>178</v>
      </c>
      <c r="F15" s="58">
        <v>0</v>
      </c>
      <c r="G15" s="58">
        <v>1850</v>
      </c>
      <c r="H15" s="58">
        <f t="shared" si="1"/>
        <v>1850</v>
      </c>
      <c r="I15" s="45">
        <v>3686</v>
      </c>
      <c r="J15" s="43"/>
      <c r="K15" s="43"/>
      <c r="L15" s="43"/>
      <c r="M15" s="43"/>
      <c r="N15" s="29"/>
    </row>
    <row r="16" spans="1:26" ht="12.75" customHeight="1" x14ac:dyDescent="0.2">
      <c r="A16" s="53">
        <v>6</v>
      </c>
      <c r="B16" s="53">
        <v>2021</v>
      </c>
      <c r="C16" s="53" t="str">
        <f t="shared" si="0"/>
        <v>Income: 1</v>
      </c>
      <c r="D16" s="73" t="s">
        <v>669</v>
      </c>
      <c r="E16" s="53" t="s">
        <v>62</v>
      </c>
      <c r="F16" s="58">
        <v>1850</v>
      </c>
      <c r="G16" s="58">
        <v>0</v>
      </c>
      <c r="H16" s="58">
        <f t="shared" si="1"/>
        <v>0</v>
      </c>
      <c r="I16" s="43">
        <v>3687</v>
      </c>
      <c r="J16" s="43"/>
      <c r="K16" s="43"/>
      <c r="L16" s="43"/>
      <c r="M16" s="43"/>
      <c r="N16" s="29"/>
      <c r="O16" s="29"/>
      <c r="P16" s="29"/>
    </row>
    <row r="17" spans="1:18" ht="12.75" customHeight="1" x14ac:dyDescent="0.2">
      <c r="A17" s="53">
        <v>8</v>
      </c>
      <c r="B17" s="53">
        <v>2021</v>
      </c>
      <c r="C17" s="53" t="str">
        <f t="shared" si="0"/>
        <v>Rent: 1</v>
      </c>
      <c r="D17" s="73" t="s">
        <v>416</v>
      </c>
      <c r="E17" s="53" t="s">
        <v>181</v>
      </c>
      <c r="F17" s="58">
        <v>0</v>
      </c>
      <c r="G17" s="58">
        <v>1850</v>
      </c>
      <c r="H17" s="58">
        <f t="shared" si="1"/>
        <v>1850</v>
      </c>
      <c r="I17" s="43">
        <v>3688</v>
      </c>
      <c r="J17" s="43"/>
      <c r="K17" s="43"/>
      <c r="L17" s="43"/>
      <c r="M17" s="44"/>
      <c r="N17" s="27"/>
      <c r="O17" s="27"/>
      <c r="P17" s="35"/>
      <c r="Q17" s="29"/>
    </row>
    <row r="18" spans="1:18" ht="12.75" customHeight="1" x14ac:dyDescent="0.2">
      <c r="A18" s="53">
        <v>7</v>
      </c>
      <c r="B18" s="53">
        <v>2021</v>
      </c>
      <c r="C18" s="53" t="str">
        <f t="shared" si="0"/>
        <v>Income: 1</v>
      </c>
      <c r="D18" s="73" t="s">
        <v>670</v>
      </c>
      <c r="E18" s="53" t="s">
        <v>62</v>
      </c>
      <c r="F18" s="58">
        <v>1850</v>
      </c>
      <c r="G18" s="58">
        <v>0</v>
      </c>
      <c r="H18" s="58">
        <f t="shared" si="1"/>
        <v>0</v>
      </c>
      <c r="I18" s="45">
        <v>3689</v>
      </c>
      <c r="J18" s="43"/>
      <c r="K18" s="43"/>
      <c r="L18" s="43"/>
      <c r="M18" s="45"/>
      <c r="N18" s="27"/>
      <c r="O18" s="29"/>
      <c r="P18" s="14"/>
      <c r="Q18" s="36"/>
    </row>
    <row r="19" spans="1:18" ht="12.75" customHeight="1" x14ac:dyDescent="0.2">
      <c r="A19" s="53">
        <v>9</v>
      </c>
      <c r="B19" s="53">
        <v>2021</v>
      </c>
      <c r="C19" s="53" t="str">
        <f t="shared" si="0"/>
        <v>Rent: 1</v>
      </c>
      <c r="D19" s="73" t="s">
        <v>418</v>
      </c>
      <c r="E19" s="53" t="s">
        <v>184</v>
      </c>
      <c r="F19" s="58">
        <v>0</v>
      </c>
      <c r="G19" s="58">
        <v>1850</v>
      </c>
      <c r="H19" s="58">
        <f t="shared" si="1"/>
        <v>1850</v>
      </c>
      <c r="I19" s="43">
        <v>3690</v>
      </c>
      <c r="J19" s="43"/>
      <c r="K19" s="43"/>
      <c r="L19" s="43"/>
      <c r="M19" s="45"/>
      <c r="N19" s="27"/>
      <c r="O19" s="27"/>
      <c r="P19" s="29"/>
    </row>
    <row r="20" spans="1:18" ht="12.75" customHeight="1" x14ac:dyDescent="0.2">
      <c r="A20" s="53">
        <v>9</v>
      </c>
      <c r="B20" s="53">
        <v>2021</v>
      </c>
      <c r="C20" s="53" t="str">
        <f t="shared" si="0"/>
        <v>Income: 1</v>
      </c>
      <c r="D20" s="73" t="s">
        <v>418</v>
      </c>
      <c r="E20" s="53" t="s">
        <v>62</v>
      </c>
      <c r="F20" s="58">
        <v>1850</v>
      </c>
      <c r="G20" s="58">
        <v>0</v>
      </c>
      <c r="H20" s="58">
        <f t="shared" si="1"/>
        <v>0</v>
      </c>
      <c r="I20" s="43">
        <v>3691</v>
      </c>
      <c r="J20" s="43"/>
      <c r="K20" s="43"/>
      <c r="L20" s="43"/>
      <c r="M20" s="45"/>
      <c r="N20" s="27"/>
      <c r="O20" s="29"/>
      <c r="P20" s="29"/>
      <c r="Q20" s="29"/>
    </row>
    <row r="21" spans="1:18" ht="12.75" customHeight="1" x14ac:dyDescent="0.2">
      <c r="A21" s="53">
        <v>10</v>
      </c>
      <c r="B21" s="53">
        <v>2021</v>
      </c>
      <c r="C21" s="53" t="str">
        <f t="shared" si="0"/>
        <v>Rent: 1</v>
      </c>
      <c r="D21" s="73" t="s">
        <v>420</v>
      </c>
      <c r="E21" s="53" t="s">
        <v>187</v>
      </c>
      <c r="F21" s="58">
        <v>0</v>
      </c>
      <c r="G21" s="58">
        <v>1850</v>
      </c>
      <c r="H21" s="58">
        <f t="shared" si="1"/>
        <v>1850</v>
      </c>
      <c r="I21" s="43">
        <v>3692</v>
      </c>
      <c r="J21" s="43"/>
      <c r="K21" s="43"/>
      <c r="L21" s="43"/>
      <c r="M21" s="45"/>
      <c r="N21" s="27"/>
      <c r="O21" s="27"/>
      <c r="P21" s="29"/>
    </row>
    <row r="22" spans="1:18" ht="12.75" customHeight="1" x14ac:dyDescent="0.2">
      <c r="A22" s="53">
        <v>10</v>
      </c>
      <c r="B22" s="53">
        <v>2021</v>
      </c>
      <c r="C22" s="53" t="str">
        <f t="shared" si="0"/>
        <v>Income: 1</v>
      </c>
      <c r="D22" s="73" t="s">
        <v>420</v>
      </c>
      <c r="E22" s="53" t="s">
        <v>62</v>
      </c>
      <c r="F22" s="58">
        <v>1850</v>
      </c>
      <c r="G22" s="58">
        <v>0</v>
      </c>
      <c r="H22" s="58">
        <f t="shared" si="1"/>
        <v>0</v>
      </c>
      <c r="I22" s="43">
        <v>3693</v>
      </c>
      <c r="J22" s="43"/>
      <c r="K22" s="43"/>
      <c r="L22" s="43"/>
      <c r="M22" s="45"/>
      <c r="N22" s="27"/>
      <c r="O22" s="29"/>
      <c r="P22" s="29"/>
    </row>
    <row r="23" spans="1:18" ht="12.75" customHeight="1" x14ac:dyDescent="0.2">
      <c r="A23" s="53">
        <v>11</v>
      </c>
      <c r="B23" s="53">
        <v>2021</v>
      </c>
      <c r="C23" s="53" t="str">
        <f t="shared" si="0"/>
        <v>Rent: 1</v>
      </c>
      <c r="D23" s="73" t="s">
        <v>422</v>
      </c>
      <c r="E23" s="53" t="s">
        <v>190</v>
      </c>
      <c r="F23" s="58">
        <v>0</v>
      </c>
      <c r="G23" s="58">
        <v>1850</v>
      </c>
      <c r="H23" s="58">
        <f t="shared" si="1"/>
        <v>1850</v>
      </c>
      <c r="I23" s="43">
        <v>3694</v>
      </c>
      <c r="J23" s="43"/>
      <c r="K23" s="43"/>
      <c r="L23" s="43"/>
      <c r="M23" s="45"/>
      <c r="N23" s="27"/>
      <c r="O23" s="27"/>
      <c r="P23" s="29"/>
    </row>
    <row r="24" spans="1:18" ht="12.75" customHeight="1" x14ac:dyDescent="0.2">
      <c r="A24" s="53">
        <v>11</v>
      </c>
      <c r="B24" s="53">
        <v>2021</v>
      </c>
      <c r="C24" s="53" t="str">
        <f t="shared" si="0"/>
        <v>Income: 1</v>
      </c>
      <c r="D24" s="73" t="s">
        <v>422</v>
      </c>
      <c r="E24" s="53" t="s">
        <v>62</v>
      </c>
      <c r="F24" s="58">
        <v>1850</v>
      </c>
      <c r="G24" s="58">
        <v>0</v>
      </c>
      <c r="H24" s="58">
        <f t="shared" si="1"/>
        <v>0</v>
      </c>
      <c r="I24" s="43">
        <v>3695</v>
      </c>
      <c r="J24" s="43"/>
      <c r="K24" s="43"/>
      <c r="L24" s="43"/>
      <c r="M24" s="45"/>
      <c r="N24" s="27"/>
      <c r="O24" s="29"/>
      <c r="P24" s="29"/>
    </row>
    <row r="25" spans="1:18" ht="12.75" customHeight="1" x14ac:dyDescent="0.2">
      <c r="A25" s="53">
        <v>12</v>
      </c>
      <c r="B25" s="53">
        <v>2021</v>
      </c>
      <c r="C25" s="53" t="str">
        <f t="shared" si="0"/>
        <v>Rent: 1</v>
      </c>
      <c r="D25" s="73" t="s">
        <v>424</v>
      </c>
      <c r="E25" s="53" t="s">
        <v>193</v>
      </c>
      <c r="F25" s="58">
        <v>0</v>
      </c>
      <c r="G25" s="58">
        <v>1850</v>
      </c>
      <c r="H25" s="58">
        <f t="shared" si="1"/>
        <v>1850</v>
      </c>
      <c r="I25" s="43">
        <v>3696</v>
      </c>
      <c r="J25" s="45"/>
      <c r="K25" s="43"/>
      <c r="L25" s="43"/>
      <c r="M25" s="45"/>
      <c r="N25" s="27"/>
      <c r="O25" s="29"/>
      <c r="P25" s="29"/>
    </row>
    <row r="26" spans="1:18" ht="12.75" customHeight="1" x14ac:dyDescent="0.2">
      <c r="A26" s="53">
        <v>12</v>
      </c>
      <c r="B26" s="53">
        <v>2021</v>
      </c>
      <c r="C26" s="53" t="str">
        <f t="shared" si="0"/>
        <v>Income: 1</v>
      </c>
      <c r="D26" s="73" t="s">
        <v>424</v>
      </c>
      <c r="E26" s="53" t="s">
        <v>62</v>
      </c>
      <c r="F26" s="58">
        <v>1850</v>
      </c>
      <c r="G26" s="58">
        <v>0</v>
      </c>
      <c r="H26" s="58">
        <f t="shared" si="1"/>
        <v>0</v>
      </c>
      <c r="I26" s="43">
        <v>3697</v>
      </c>
      <c r="J26" s="45"/>
      <c r="K26" s="43"/>
      <c r="L26" s="43"/>
      <c r="M26" s="45"/>
      <c r="N26" s="27"/>
      <c r="O26" s="29"/>
      <c r="P26" s="29"/>
    </row>
    <row r="27" spans="1:18" ht="12.75" customHeight="1" x14ac:dyDescent="0.2">
      <c r="A27" s="53">
        <v>1</v>
      </c>
      <c r="B27" s="53">
        <v>2022</v>
      </c>
      <c r="C27" s="53" t="str">
        <f t="shared" si="0"/>
        <v>Rent: 1</v>
      </c>
      <c r="D27" s="73" t="s">
        <v>426</v>
      </c>
      <c r="E27" s="53" t="s">
        <v>196</v>
      </c>
      <c r="F27" s="58">
        <v>0</v>
      </c>
      <c r="G27" s="58">
        <v>1850</v>
      </c>
      <c r="H27" s="58">
        <f t="shared" si="1"/>
        <v>1850</v>
      </c>
      <c r="I27" s="43">
        <v>3698</v>
      </c>
      <c r="J27" s="43"/>
      <c r="K27" s="43"/>
      <c r="L27" s="43"/>
      <c r="M27" s="45"/>
      <c r="N27" s="27"/>
      <c r="O27" s="29"/>
      <c r="P27" s="29"/>
    </row>
    <row r="28" spans="1:18" ht="12.75" customHeight="1" x14ac:dyDescent="0.2">
      <c r="A28" s="53">
        <v>1</v>
      </c>
      <c r="B28" s="53">
        <v>2022</v>
      </c>
      <c r="C28" s="53" t="str">
        <f t="shared" si="0"/>
        <v>Income: 1</v>
      </c>
      <c r="D28" s="73" t="s">
        <v>470</v>
      </c>
      <c r="E28" s="53" t="s">
        <v>62</v>
      </c>
      <c r="F28" s="58">
        <v>1850</v>
      </c>
      <c r="G28" s="58">
        <v>0</v>
      </c>
      <c r="H28" s="58">
        <f t="shared" si="1"/>
        <v>0</v>
      </c>
      <c r="I28" s="43">
        <v>3699</v>
      </c>
      <c r="J28" s="43"/>
      <c r="K28" s="43"/>
      <c r="L28" s="43"/>
      <c r="M28" s="45"/>
      <c r="N28" s="27"/>
      <c r="O28" s="29"/>
      <c r="P28" s="29"/>
      <c r="Q28" s="29"/>
    </row>
    <row r="29" spans="1:18" ht="12.75" customHeight="1" x14ac:dyDescent="0.2">
      <c r="A29" s="53">
        <v>2</v>
      </c>
      <c r="B29" s="53">
        <v>2022</v>
      </c>
      <c r="C29" s="53" t="str">
        <f t="shared" si="0"/>
        <v>Rent: 1</v>
      </c>
      <c r="D29" s="73" t="s">
        <v>429</v>
      </c>
      <c r="E29" s="53" t="s">
        <v>199</v>
      </c>
      <c r="F29" s="58">
        <v>0</v>
      </c>
      <c r="G29" s="58">
        <v>1850</v>
      </c>
      <c r="H29" s="58">
        <f t="shared" si="1"/>
        <v>1850</v>
      </c>
      <c r="I29" s="43">
        <v>3700</v>
      </c>
      <c r="J29" s="43"/>
      <c r="K29" s="43"/>
      <c r="L29" s="43"/>
      <c r="M29" s="45"/>
      <c r="N29" s="27"/>
      <c r="O29" s="29"/>
      <c r="P29" s="29"/>
    </row>
    <row r="30" spans="1:18" ht="12.75" customHeight="1" x14ac:dyDescent="0.2">
      <c r="A30" s="53">
        <v>2</v>
      </c>
      <c r="B30" s="53">
        <v>2022</v>
      </c>
      <c r="C30" s="53" t="str">
        <f t="shared" si="0"/>
        <v>Income: 1</v>
      </c>
      <c r="D30" s="73" t="s">
        <v>429</v>
      </c>
      <c r="E30" s="53" t="s">
        <v>62</v>
      </c>
      <c r="F30" s="58">
        <v>1850</v>
      </c>
      <c r="G30" s="58">
        <v>0</v>
      </c>
      <c r="H30" s="58">
        <f t="shared" si="1"/>
        <v>0</v>
      </c>
      <c r="I30" s="43">
        <v>3701</v>
      </c>
      <c r="J30" s="43"/>
      <c r="K30" s="43"/>
      <c r="L30" s="43"/>
      <c r="M30" s="45"/>
      <c r="N30" s="27"/>
      <c r="O30" s="29"/>
      <c r="P30" s="29"/>
      <c r="Q30" s="29"/>
    </row>
    <row r="31" spans="1:18" ht="12.75" customHeight="1" x14ac:dyDescent="0.2">
      <c r="A31" s="53">
        <v>3</v>
      </c>
      <c r="B31" s="53">
        <v>2022</v>
      </c>
      <c r="C31" s="53" t="str">
        <f t="shared" si="0"/>
        <v>Rent: 1</v>
      </c>
      <c r="D31" s="73" t="s">
        <v>431</v>
      </c>
      <c r="E31" s="53" t="s">
        <v>202</v>
      </c>
      <c r="F31" s="58">
        <v>0</v>
      </c>
      <c r="G31" s="58">
        <v>1850</v>
      </c>
      <c r="H31" s="58">
        <f t="shared" si="1"/>
        <v>1850</v>
      </c>
      <c r="I31" s="40">
        <v>3702</v>
      </c>
      <c r="J31" s="45"/>
      <c r="K31" s="43"/>
      <c r="L31" s="43"/>
      <c r="M31" s="45"/>
      <c r="N31" s="27"/>
      <c r="O31" s="29"/>
      <c r="P31" s="29"/>
    </row>
    <row r="32" spans="1:18" ht="12.75" customHeight="1" x14ac:dyDescent="0.2">
      <c r="A32" s="53">
        <v>3</v>
      </c>
      <c r="B32" s="53">
        <v>2022</v>
      </c>
      <c r="C32" s="53" t="str">
        <f t="shared" si="0"/>
        <v>Income: 1</v>
      </c>
      <c r="D32" s="73" t="s">
        <v>671</v>
      </c>
      <c r="E32" s="53" t="s">
        <v>62</v>
      </c>
      <c r="F32" s="58">
        <v>1850</v>
      </c>
      <c r="G32" s="58">
        <v>0</v>
      </c>
      <c r="H32" s="58">
        <f t="shared" si="1"/>
        <v>0</v>
      </c>
      <c r="I32" s="40">
        <v>3703</v>
      </c>
      <c r="J32" s="44"/>
      <c r="K32" s="40"/>
      <c r="L32" s="43"/>
      <c r="M32" s="45"/>
      <c r="N32" s="27"/>
      <c r="O32" s="29"/>
      <c r="P32" s="29"/>
      <c r="Q32" s="29"/>
      <c r="R32" s="29"/>
    </row>
    <row r="33" spans="1:17" ht="12.75" customHeight="1" x14ac:dyDescent="0.2">
      <c r="A33" s="53">
        <v>4</v>
      </c>
      <c r="B33" s="53">
        <v>2022</v>
      </c>
      <c r="C33" s="53" t="str">
        <f t="shared" si="0"/>
        <v>Rent: 1</v>
      </c>
      <c r="D33" s="73" t="s">
        <v>433</v>
      </c>
      <c r="E33" s="53" t="s">
        <v>205</v>
      </c>
      <c r="F33" s="58">
        <v>0</v>
      </c>
      <c r="G33" s="58">
        <v>1850</v>
      </c>
      <c r="H33" s="58">
        <f t="shared" si="1"/>
        <v>1850</v>
      </c>
      <c r="I33" s="43">
        <v>3704</v>
      </c>
      <c r="J33" s="43"/>
      <c r="K33" s="43"/>
      <c r="L33" s="43"/>
      <c r="M33" s="45"/>
      <c r="O33" s="29"/>
      <c r="P33" s="29"/>
    </row>
    <row r="34" spans="1:17" ht="12.75" customHeight="1" x14ac:dyDescent="0.2">
      <c r="A34" s="53">
        <v>4</v>
      </c>
      <c r="B34" s="53">
        <v>2022</v>
      </c>
      <c r="C34" s="53" t="str">
        <f t="shared" si="0"/>
        <v>Income: 1</v>
      </c>
      <c r="D34" s="73" t="s">
        <v>433</v>
      </c>
      <c r="E34" s="53" t="s">
        <v>62</v>
      </c>
      <c r="F34" s="58">
        <v>1850</v>
      </c>
      <c r="G34" s="58">
        <v>0</v>
      </c>
      <c r="H34" s="58">
        <f t="shared" si="1"/>
        <v>0</v>
      </c>
      <c r="I34" s="40">
        <v>3705</v>
      </c>
      <c r="J34" s="43"/>
      <c r="K34" s="43"/>
      <c r="L34" s="43"/>
      <c r="M34" s="45"/>
      <c r="O34" s="29"/>
      <c r="P34" s="29"/>
      <c r="Q34" s="29"/>
    </row>
    <row r="35" spans="1:17" ht="12.75" customHeight="1" x14ac:dyDescent="0.2">
      <c r="A35" s="53">
        <v>5</v>
      </c>
      <c r="B35" s="53">
        <v>2022</v>
      </c>
      <c r="C35" s="53" t="str">
        <f t="shared" si="0"/>
        <v>Rent: 1</v>
      </c>
      <c r="D35" s="73" t="s">
        <v>435</v>
      </c>
      <c r="E35" s="53" t="s">
        <v>208</v>
      </c>
      <c r="F35" s="58">
        <v>0</v>
      </c>
      <c r="G35" s="58">
        <v>1925</v>
      </c>
      <c r="H35" s="58">
        <f t="shared" si="1"/>
        <v>1925</v>
      </c>
      <c r="I35" s="40">
        <v>3706</v>
      </c>
      <c r="J35" s="44"/>
      <c r="K35" s="40"/>
      <c r="L35" s="43"/>
      <c r="M35" s="45"/>
      <c r="O35" s="29"/>
      <c r="P35" s="29"/>
    </row>
    <row r="36" spans="1:17" ht="12.75" customHeight="1" x14ac:dyDescent="0.2">
      <c r="A36" s="53">
        <v>5</v>
      </c>
      <c r="B36" s="53">
        <v>2022</v>
      </c>
      <c r="C36" s="53" t="str">
        <f t="shared" si="0"/>
        <v>Income: 1</v>
      </c>
      <c r="D36" s="73" t="s">
        <v>436</v>
      </c>
      <c r="E36" s="53" t="s">
        <v>62</v>
      </c>
      <c r="F36" s="58">
        <v>962</v>
      </c>
      <c r="G36" s="58">
        <v>0</v>
      </c>
      <c r="H36" s="58">
        <f t="shared" si="1"/>
        <v>963</v>
      </c>
      <c r="I36" s="40">
        <v>3707</v>
      </c>
      <c r="J36" s="45"/>
      <c r="K36" s="45"/>
      <c r="L36" s="43"/>
      <c r="M36" s="45"/>
      <c r="O36" s="29"/>
      <c r="P36" s="29"/>
      <c r="Q36" s="29"/>
    </row>
    <row r="37" spans="1:17" ht="12.75" customHeight="1" x14ac:dyDescent="0.2">
      <c r="A37" s="53">
        <v>5</v>
      </c>
      <c r="B37" s="53">
        <v>2022</v>
      </c>
      <c r="C37" s="53" t="str">
        <f t="shared" ref="C37:C64" si="2">IFERROR("Late Fee "&amp;FIND("Late Fee",E37),IFERROR("Internet "&amp;FIND("Internet",E37),IFERROR("Utilities "&amp;FIND("Utilities",E37),IFERROR("Rent: "&amp;FIND("Rent",E37),IFERROR("Priv Tax: "&amp;FIND("Tax",E37),IFERROR("Income: "&amp;FIND("Payment",E37,1),""))))))</f>
        <v>Income: 1</v>
      </c>
      <c r="D37" s="73" t="s">
        <v>436</v>
      </c>
      <c r="E37" s="53" t="s">
        <v>62</v>
      </c>
      <c r="F37" s="58">
        <v>963</v>
      </c>
      <c r="G37" s="58">
        <v>0</v>
      </c>
      <c r="H37" s="58">
        <f t="shared" si="1"/>
        <v>0</v>
      </c>
      <c r="I37" s="40">
        <v>3708</v>
      </c>
      <c r="J37" s="44"/>
      <c r="K37" s="44"/>
      <c r="L37" s="43"/>
      <c r="M37" s="45"/>
      <c r="O37" s="29"/>
      <c r="P37" s="29"/>
    </row>
    <row r="38" spans="1:17" ht="12.75" customHeight="1" x14ac:dyDescent="0.2">
      <c r="A38" s="53">
        <v>6</v>
      </c>
      <c r="B38" s="53">
        <v>2022</v>
      </c>
      <c r="C38" s="53" t="str">
        <f t="shared" si="2"/>
        <v>Rent: 1</v>
      </c>
      <c r="D38" s="73" t="s">
        <v>437</v>
      </c>
      <c r="E38" s="53" t="s">
        <v>211</v>
      </c>
      <c r="F38" s="58">
        <v>0</v>
      </c>
      <c r="G38" s="58">
        <v>1925</v>
      </c>
      <c r="H38" s="58">
        <f t="shared" ref="H38:H64" si="3" xml:space="preserve"> H37 + G38 - F38</f>
        <v>1925</v>
      </c>
      <c r="I38" s="43">
        <v>3709</v>
      </c>
      <c r="J38" s="43"/>
      <c r="K38" s="43"/>
      <c r="L38" s="43"/>
      <c r="M38" s="45"/>
      <c r="O38" s="29"/>
      <c r="P38" s="29"/>
      <c r="Q38" s="29"/>
    </row>
    <row r="39" spans="1:17" ht="12.75" customHeight="1" x14ac:dyDescent="0.2">
      <c r="A39" s="53">
        <v>6</v>
      </c>
      <c r="B39" s="53">
        <v>2022</v>
      </c>
      <c r="C39" s="53" t="str">
        <f t="shared" si="2"/>
        <v>Income: 1</v>
      </c>
      <c r="D39" s="73" t="s">
        <v>672</v>
      </c>
      <c r="E39" s="53" t="s">
        <v>62</v>
      </c>
      <c r="F39" s="58">
        <v>1925</v>
      </c>
      <c r="G39" s="58">
        <v>0</v>
      </c>
      <c r="H39" s="58">
        <f t="shared" si="3"/>
        <v>0</v>
      </c>
      <c r="I39" s="43">
        <v>3710</v>
      </c>
      <c r="J39" s="43"/>
      <c r="K39" s="43"/>
      <c r="L39" s="43"/>
      <c r="M39" s="45"/>
      <c r="O39" s="37"/>
      <c r="P39" s="29"/>
    </row>
    <row r="40" spans="1:17" ht="12.75" customHeight="1" x14ac:dyDescent="0.2">
      <c r="A40" s="53">
        <v>7</v>
      </c>
      <c r="B40" s="53">
        <v>2022</v>
      </c>
      <c r="C40" s="53" t="str">
        <f t="shared" si="2"/>
        <v>Rent: 1</v>
      </c>
      <c r="D40" s="73" t="s">
        <v>439</v>
      </c>
      <c r="E40" s="53" t="s">
        <v>214</v>
      </c>
      <c r="F40" s="58">
        <v>0</v>
      </c>
      <c r="G40" s="58">
        <v>1925</v>
      </c>
      <c r="H40" s="58">
        <f t="shared" si="3"/>
        <v>1925</v>
      </c>
      <c r="I40" s="43">
        <v>3711</v>
      </c>
      <c r="J40" s="43"/>
      <c r="K40" s="43"/>
      <c r="L40" s="43"/>
      <c r="M40" s="45"/>
      <c r="O40" s="37"/>
      <c r="P40" s="29"/>
      <c r="Q40" s="29"/>
    </row>
    <row r="41" spans="1:17" ht="12.75" customHeight="1" x14ac:dyDescent="0.2">
      <c r="A41" s="53">
        <v>7</v>
      </c>
      <c r="B41" s="53">
        <v>2022</v>
      </c>
      <c r="C41" s="53" t="str">
        <f t="shared" si="2"/>
        <v>Income: 1</v>
      </c>
      <c r="D41" s="73" t="s">
        <v>477</v>
      </c>
      <c r="E41" s="53" t="s">
        <v>62</v>
      </c>
      <c r="F41" s="58">
        <v>1925</v>
      </c>
      <c r="G41" s="58">
        <v>0</v>
      </c>
      <c r="H41" s="58">
        <f t="shared" si="3"/>
        <v>0</v>
      </c>
      <c r="I41" s="43">
        <v>3712</v>
      </c>
      <c r="J41" s="43"/>
      <c r="K41" s="43"/>
      <c r="L41" s="43"/>
      <c r="M41" s="45"/>
      <c r="O41" s="29"/>
      <c r="P41" s="29"/>
    </row>
    <row r="42" spans="1:17" ht="12.75" customHeight="1" x14ac:dyDescent="0.2">
      <c r="A42" s="53">
        <v>8</v>
      </c>
      <c r="B42" s="53">
        <v>2022</v>
      </c>
      <c r="C42" s="53" t="str">
        <f t="shared" si="2"/>
        <v>Rent: 1</v>
      </c>
      <c r="D42" s="73" t="s">
        <v>441</v>
      </c>
      <c r="E42" s="53" t="s">
        <v>217</v>
      </c>
      <c r="F42" s="58">
        <v>0</v>
      </c>
      <c r="G42" s="58">
        <v>1925</v>
      </c>
      <c r="H42" s="58">
        <f t="shared" si="3"/>
        <v>1925</v>
      </c>
      <c r="I42" s="43">
        <v>3713</v>
      </c>
      <c r="J42" s="43"/>
      <c r="K42" s="43"/>
      <c r="L42" s="43"/>
      <c r="M42" s="45"/>
      <c r="O42" s="29"/>
      <c r="P42" s="29"/>
      <c r="Q42" s="29"/>
    </row>
    <row r="43" spans="1:17" ht="12.75" customHeight="1" x14ac:dyDescent="0.2">
      <c r="A43" s="53">
        <v>8</v>
      </c>
      <c r="B43" s="53">
        <v>2022</v>
      </c>
      <c r="C43" s="53" t="str">
        <f t="shared" si="2"/>
        <v>Income: 1</v>
      </c>
      <c r="D43" s="73" t="s">
        <v>478</v>
      </c>
      <c r="E43" s="53" t="s">
        <v>62</v>
      </c>
      <c r="F43" s="58">
        <v>1925</v>
      </c>
      <c r="G43" s="58">
        <v>0</v>
      </c>
      <c r="H43" s="58">
        <f t="shared" si="3"/>
        <v>0</v>
      </c>
      <c r="I43" s="43">
        <v>3714</v>
      </c>
      <c r="J43" s="43"/>
      <c r="K43" s="43"/>
      <c r="L43" s="43"/>
      <c r="M43" s="45"/>
      <c r="O43" s="29"/>
      <c r="P43" s="29"/>
    </row>
    <row r="44" spans="1:17" ht="12.75" customHeight="1" x14ac:dyDescent="0.2">
      <c r="A44" s="53">
        <v>9</v>
      </c>
      <c r="B44" s="53">
        <v>2022</v>
      </c>
      <c r="C44" s="53" t="str">
        <f t="shared" si="2"/>
        <v>Rent: 1</v>
      </c>
      <c r="D44" s="73" t="s">
        <v>442</v>
      </c>
      <c r="E44" s="53" t="s">
        <v>220</v>
      </c>
      <c r="F44" s="58">
        <v>0</v>
      </c>
      <c r="G44" s="58">
        <v>1925</v>
      </c>
      <c r="H44" s="58">
        <f t="shared" si="3"/>
        <v>1925</v>
      </c>
      <c r="I44" s="43">
        <v>3715</v>
      </c>
      <c r="J44" s="43"/>
      <c r="K44" s="43"/>
      <c r="L44" s="43"/>
      <c r="M44" s="45"/>
      <c r="O44" s="29"/>
      <c r="P44" s="29"/>
      <c r="Q44" s="29"/>
    </row>
    <row r="45" spans="1:17" ht="12.75" customHeight="1" x14ac:dyDescent="0.2">
      <c r="A45" s="53">
        <v>9</v>
      </c>
      <c r="B45" s="53">
        <v>2022</v>
      </c>
      <c r="C45" s="53" t="str">
        <f t="shared" si="2"/>
        <v>Income: 1</v>
      </c>
      <c r="D45" s="73" t="s">
        <v>444</v>
      </c>
      <c r="E45" s="53" t="s">
        <v>62</v>
      </c>
      <c r="F45" s="58">
        <v>1950</v>
      </c>
      <c r="G45" s="58">
        <v>0</v>
      </c>
      <c r="H45" s="58">
        <f t="shared" si="3"/>
        <v>-25</v>
      </c>
      <c r="I45" s="43">
        <v>3716</v>
      </c>
      <c r="J45" s="43"/>
      <c r="K45" s="43"/>
      <c r="L45" s="43"/>
      <c r="M45" s="45"/>
      <c r="O45" s="29"/>
      <c r="P45" s="29"/>
    </row>
    <row r="46" spans="1:17" ht="12.75" customHeight="1" x14ac:dyDescent="0.2">
      <c r="A46" s="53">
        <v>10</v>
      </c>
      <c r="B46" s="53">
        <v>2022</v>
      </c>
      <c r="C46" s="53" t="str">
        <f t="shared" si="2"/>
        <v>Rent: 1</v>
      </c>
      <c r="D46" s="73" t="s">
        <v>445</v>
      </c>
      <c r="E46" s="53" t="s">
        <v>223</v>
      </c>
      <c r="F46" s="58">
        <v>0</v>
      </c>
      <c r="G46" s="58">
        <v>1925</v>
      </c>
      <c r="H46" s="58">
        <f t="shared" si="3"/>
        <v>1900</v>
      </c>
      <c r="I46" s="43">
        <v>3717</v>
      </c>
      <c r="J46" s="43"/>
      <c r="K46" s="43"/>
      <c r="L46" s="43"/>
      <c r="M46" s="45"/>
      <c r="O46" s="29"/>
      <c r="P46" s="29"/>
      <c r="Q46" s="29"/>
    </row>
    <row r="47" spans="1:17" ht="12.75" customHeight="1" x14ac:dyDescent="0.2">
      <c r="A47" s="53">
        <v>8</v>
      </c>
      <c r="B47" s="53">
        <v>2022</v>
      </c>
      <c r="C47" s="53" t="str">
        <f t="shared" si="2"/>
        <v/>
      </c>
      <c r="D47" s="82" t="s">
        <v>673</v>
      </c>
      <c r="E47" s="53" t="s">
        <v>100</v>
      </c>
      <c r="F47" s="58">
        <v>0</v>
      </c>
      <c r="G47" s="58">
        <v>25</v>
      </c>
      <c r="H47" s="58">
        <f t="shared" si="3"/>
        <v>1925</v>
      </c>
      <c r="I47" s="43">
        <v>3718</v>
      </c>
      <c r="J47" s="43"/>
      <c r="K47" s="43"/>
      <c r="L47" s="43"/>
      <c r="M47" s="45"/>
      <c r="O47" s="29"/>
      <c r="P47" s="29"/>
    </row>
    <row r="48" spans="1:17" ht="12.75" customHeight="1" x14ac:dyDescent="0.2">
      <c r="A48" s="53">
        <v>9</v>
      </c>
      <c r="B48" s="53">
        <v>2022</v>
      </c>
      <c r="C48" s="53" t="str">
        <f t="shared" si="2"/>
        <v/>
      </c>
      <c r="D48" s="82" t="s">
        <v>674</v>
      </c>
      <c r="E48" s="53" t="s">
        <v>100</v>
      </c>
      <c r="F48" s="58">
        <v>0</v>
      </c>
      <c r="G48" s="58">
        <v>75</v>
      </c>
      <c r="H48" s="58">
        <f t="shared" si="3"/>
        <v>2000</v>
      </c>
      <c r="I48" s="43">
        <v>3719</v>
      </c>
      <c r="J48" s="43"/>
      <c r="K48" s="43"/>
      <c r="L48" s="43"/>
      <c r="M48" s="45"/>
      <c r="O48" s="29"/>
      <c r="P48" s="29"/>
      <c r="Q48" s="29"/>
    </row>
    <row r="49" spans="1:17" ht="12.75" customHeight="1" x14ac:dyDescent="0.2">
      <c r="A49" s="53">
        <v>9</v>
      </c>
      <c r="B49" s="53">
        <v>2022</v>
      </c>
      <c r="C49" s="53" t="str">
        <f t="shared" si="2"/>
        <v/>
      </c>
      <c r="D49" s="82" t="s">
        <v>674</v>
      </c>
      <c r="E49" s="53" t="s">
        <v>101</v>
      </c>
      <c r="F49" s="58">
        <v>0</v>
      </c>
      <c r="G49" s="58">
        <v>25</v>
      </c>
      <c r="H49" s="58">
        <f t="shared" si="3"/>
        <v>2025</v>
      </c>
      <c r="I49" s="43">
        <v>3720</v>
      </c>
      <c r="J49" s="43"/>
      <c r="K49" s="43"/>
      <c r="L49" s="43"/>
      <c r="M49" s="45"/>
      <c r="O49" s="29"/>
      <c r="P49" s="29"/>
    </row>
    <row r="50" spans="1:17" ht="12.75" customHeight="1" x14ac:dyDescent="0.2">
      <c r="A50" s="53">
        <v>10</v>
      </c>
      <c r="B50" s="53">
        <v>2022</v>
      </c>
      <c r="C50" s="53" t="str">
        <f t="shared" si="2"/>
        <v/>
      </c>
      <c r="D50" s="82" t="s">
        <v>479</v>
      </c>
      <c r="E50" s="53" t="s">
        <v>100</v>
      </c>
      <c r="F50" s="58">
        <v>0</v>
      </c>
      <c r="G50" s="58">
        <v>100</v>
      </c>
      <c r="H50" s="58">
        <f t="shared" si="3"/>
        <v>2125</v>
      </c>
      <c r="I50" s="45">
        <v>3721</v>
      </c>
      <c r="J50" s="43"/>
      <c r="K50" s="43"/>
      <c r="L50" s="43"/>
      <c r="M50" s="45"/>
      <c r="O50" s="28"/>
      <c r="P50" s="29"/>
      <c r="Q50" s="29"/>
    </row>
    <row r="51" spans="1:17" ht="12.75" customHeight="1" x14ac:dyDescent="0.2">
      <c r="A51" s="53">
        <v>10</v>
      </c>
      <c r="B51" s="53">
        <v>2022</v>
      </c>
      <c r="C51" s="53" t="str">
        <f t="shared" si="2"/>
        <v/>
      </c>
      <c r="D51" s="82" t="s">
        <v>479</v>
      </c>
      <c r="E51" s="53" t="s">
        <v>101</v>
      </c>
      <c r="F51" s="58">
        <v>0</v>
      </c>
      <c r="G51" s="58">
        <v>25</v>
      </c>
      <c r="H51" s="58">
        <f t="shared" si="3"/>
        <v>2150</v>
      </c>
      <c r="I51" s="43">
        <v>3722</v>
      </c>
      <c r="J51" s="43"/>
      <c r="K51" s="43"/>
      <c r="L51" s="43"/>
      <c r="M51" s="45"/>
      <c r="O51" s="28"/>
      <c r="P51" s="29"/>
    </row>
    <row r="52" spans="1:17" ht="12.75" customHeight="1" x14ac:dyDescent="0.2">
      <c r="A52" s="53">
        <v>10</v>
      </c>
      <c r="B52" s="53">
        <v>2022</v>
      </c>
      <c r="C52" s="53" t="str">
        <f t="shared" si="2"/>
        <v>Income: 1</v>
      </c>
      <c r="D52" s="73" t="s">
        <v>447</v>
      </c>
      <c r="E52" s="53" t="s">
        <v>62</v>
      </c>
      <c r="F52" s="58">
        <v>2000</v>
      </c>
      <c r="G52" s="58">
        <v>0</v>
      </c>
      <c r="H52" s="58">
        <f t="shared" si="3"/>
        <v>150</v>
      </c>
      <c r="I52" s="43">
        <v>3723</v>
      </c>
      <c r="J52" s="43"/>
      <c r="K52" s="43"/>
      <c r="L52" s="43"/>
      <c r="M52" s="40"/>
      <c r="O52" s="28"/>
      <c r="P52" s="28"/>
      <c r="Q52" s="29"/>
    </row>
    <row r="53" spans="1:17" ht="12.75" customHeight="1" x14ac:dyDescent="0.2">
      <c r="A53" s="53">
        <v>11</v>
      </c>
      <c r="B53" s="53">
        <v>2022</v>
      </c>
      <c r="C53" s="53" t="str">
        <f t="shared" si="2"/>
        <v>Rent: 1</v>
      </c>
      <c r="D53" s="73" t="s">
        <v>448</v>
      </c>
      <c r="E53" s="53" t="s">
        <v>226</v>
      </c>
      <c r="F53" s="58">
        <v>0</v>
      </c>
      <c r="G53" s="58">
        <v>1925</v>
      </c>
      <c r="H53" s="58">
        <f t="shared" si="3"/>
        <v>2075</v>
      </c>
      <c r="I53" s="43">
        <v>3724</v>
      </c>
      <c r="J53" s="43"/>
      <c r="K53" s="43"/>
      <c r="L53" s="43"/>
      <c r="M53" s="48"/>
      <c r="O53" s="28"/>
      <c r="P53" s="28"/>
    </row>
    <row r="54" spans="1:17" ht="12.75" customHeight="1" x14ac:dyDescent="0.2">
      <c r="A54" s="53">
        <v>11</v>
      </c>
      <c r="B54" s="53">
        <v>2022</v>
      </c>
      <c r="C54" s="53" t="str">
        <f t="shared" si="2"/>
        <v>Late Fee 1</v>
      </c>
      <c r="D54" s="73" t="s">
        <v>675</v>
      </c>
      <c r="E54" s="53" t="s">
        <v>102</v>
      </c>
      <c r="F54" s="58">
        <v>0</v>
      </c>
      <c r="G54" s="58">
        <v>175</v>
      </c>
      <c r="H54" s="58">
        <f t="shared" si="3"/>
        <v>2250</v>
      </c>
      <c r="I54" s="45">
        <v>3725</v>
      </c>
      <c r="J54" s="43"/>
      <c r="K54" s="43"/>
      <c r="L54" s="43"/>
      <c r="M54" s="48"/>
      <c r="O54" s="28"/>
      <c r="P54" s="28"/>
      <c r="Q54" s="29"/>
    </row>
    <row r="55" spans="1:17" ht="12.75" customHeight="1" x14ac:dyDescent="0.2">
      <c r="A55" s="53">
        <v>11</v>
      </c>
      <c r="B55" s="53">
        <v>2022</v>
      </c>
      <c r="C55" s="53" t="str">
        <f t="shared" si="2"/>
        <v>Income: 1</v>
      </c>
      <c r="D55" s="73" t="s">
        <v>679</v>
      </c>
      <c r="E55" s="53" t="s">
        <v>62</v>
      </c>
      <c r="F55" s="58">
        <v>2250</v>
      </c>
      <c r="G55" s="58">
        <v>0</v>
      </c>
      <c r="H55" s="58">
        <f t="shared" si="3"/>
        <v>0</v>
      </c>
      <c r="I55" s="43">
        <v>3726</v>
      </c>
      <c r="J55" s="43"/>
      <c r="K55" s="43"/>
      <c r="L55" s="43"/>
      <c r="M55" s="40"/>
      <c r="O55" s="28"/>
      <c r="P55" s="28"/>
    </row>
    <row r="56" spans="1:17" ht="12.75" customHeight="1" x14ac:dyDescent="0.2">
      <c r="A56" s="53">
        <v>12</v>
      </c>
      <c r="B56" s="53">
        <v>2022</v>
      </c>
      <c r="C56" s="53" t="str">
        <f t="shared" si="2"/>
        <v>Rent: 1</v>
      </c>
      <c r="D56" s="73" t="s">
        <v>450</v>
      </c>
      <c r="E56" s="53" t="s">
        <v>678</v>
      </c>
      <c r="F56" s="58">
        <v>0</v>
      </c>
      <c r="G56" s="58">
        <v>1925</v>
      </c>
      <c r="H56" s="58">
        <f t="shared" si="3"/>
        <v>1925</v>
      </c>
      <c r="I56" s="40">
        <v>3727</v>
      </c>
      <c r="J56" s="43"/>
      <c r="K56" s="43"/>
      <c r="L56" s="43"/>
      <c r="M56" s="40"/>
      <c r="O56" s="28"/>
      <c r="P56" s="28"/>
      <c r="Q56" s="29"/>
    </row>
    <row r="57" spans="1:17" ht="12.75" customHeight="1" x14ac:dyDescent="0.2">
      <c r="A57" s="53">
        <v>12</v>
      </c>
      <c r="B57" s="53">
        <v>2022</v>
      </c>
      <c r="C57" s="53" t="str">
        <f t="shared" si="2"/>
        <v>Income: 1</v>
      </c>
      <c r="D57" s="73" t="s">
        <v>230</v>
      </c>
      <c r="E57" s="53" t="s">
        <v>677</v>
      </c>
      <c r="F57" s="58">
        <v>1925</v>
      </c>
      <c r="G57" s="58">
        <v>0</v>
      </c>
      <c r="H57" s="58">
        <f t="shared" si="3"/>
        <v>0</v>
      </c>
      <c r="I57" s="43">
        <v>3728</v>
      </c>
      <c r="J57" s="43"/>
      <c r="K57" s="43"/>
      <c r="L57" s="43"/>
      <c r="M57" s="40"/>
      <c r="O57" s="28"/>
      <c r="P57" s="28"/>
    </row>
    <row r="58" spans="1:17" ht="12.75" customHeight="1" x14ac:dyDescent="0.2">
      <c r="A58">
        <v>1</v>
      </c>
      <c r="B58">
        <v>2023</v>
      </c>
      <c r="C58" s="53" t="str">
        <f t="shared" si="2"/>
        <v>Rent: 1</v>
      </c>
      <c r="D58" s="74" t="s">
        <v>451</v>
      </c>
      <c r="E58" t="s">
        <v>680</v>
      </c>
      <c r="F58" s="69">
        <v>0</v>
      </c>
      <c r="G58" s="69">
        <v>1925</v>
      </c>
      <c r="H58" s="69">
        <f t="shared" si="3"/>
        <v>1925</v>
      </c>
      <c r="I58" s="43">
        <v>3729</v>
      </c>
      <c r="J58" s="43"/>
      <c r="K58" s="43"/>
      <c r="L58" s="43"/>
      <c r="M58" s="40"/>
      <c r="O58" s="28"/>
      <c r="P58" s="28"/>
      <c r="Q58" s="29"/>
    </row>
    <row r="59" spans="1:17" ht="12.75" customHeight="1" x14ac:dyDescent="0.2">
      <c r="A59">
        <v>1</v>
      </c>
      <c r="B59">
        <v>2023</v>
      </c>
      <c r="C59" s="53" t="str">
        <f t="shared" si="2"/>
        <v>Income: 1</v>
      </c>
      <c r="D59" s="74" t="s">
        <v>454</v>
      </c>
      <c r="E59" t="s">
        <v>62</v>
      </c>
      <c r="F59" s="31">
        <v>1925</v>
      </c>
      <c r="G59" s="31">
        <v>0</v>
      </c>
      <c r="H59" s="31">
        <f t="shared" si="3"/>
        <v>0</v>
      </c>
      <c r="I59" s="43">
        <v>3730</v>
      </c>
      <c r="J59" s="43"/>
      <c r="K59" s="43"/>
      <c r="L59" s="43"/>
      <c r="M59" s="43"/>
    </row>
    <row r="60" spans="1:17" ht="12.75" customHeight="1" x14ac:dyDescent="0.2">
      <c r="A60">
        <v>2</v>
      </c>
      <c r="B60">
        <v>2023</v>
      </c>
      <c r="C60" s="53" t="str">
        <f t="shared" si="2"/>
        <v>Rent: 1</v>
      </c>
      <c r="D60" s="74" t="s">
        <v>681</v>
      </c>
      <c r="E60" t="s">
        <v>682</v>
      </c>
      <c r="F60" s="31">
        <v>0</v>
      </c>
      <c r="G60" s="31">
        <v>1925</v>
      </c>
      <c r="H60" s="31">
        <f t="shared" si="3"/>
        <v>1925</v>
      </c>
      <c r="I60" s="40">
        <v>3731</v>
      </c>
      <c r="J60" s="43"/>
      <c r="K60" s="43"/>
      <c r="L60" s="43"/>
      <c r="M60" s="43"/>
    </row>
    <row r="61" spans="1:17" ht="12.75" customHeight="1" x14ac:dyDescent="0.2">
      <c r="A61">
        <v>2</v>
      </c>
      <c r="B61">
        <v>2023</v>
      </c>
      <c r="C61" s="53" t="str">
        <f t="shared" si="2"/>
        <v>Income: 1</v>
      </c>
      <c r="D61" s="80">
        <v>44961</v>
      </c>
      <c r="E61" t="s">
        <v>690</v>
      </c>
      <c r="F61" s="31">
        <v>1925</v>
      </c>
      <c r="G61" s="31">
        <v>0</v>
      </c>
      <c r="H61" s="31">
        <f t="shared" si="3"/>
        <v>0</v>
      </c>
      <c r="I61" s="43">
        <v>3732</v>
      </c>
      <c r="J61" s="43"/>
      <c r="K61" s="43"/>
      <c r="L61" s="43"/>
      <c r="M61" s="43"/>
    </row>
    <row r="62" spans="1:17" ht="12.75" customHeight="1" x14ac:dyDescent="0.2">
      <c r="A62">
        <v>3</v>
      </c>
      <c r="B62">
        <v>2023</v>
      </c>
      <c r="C62" s="53" t="str">
        <f t="shared" si="2"/>
        <v>Rent: 1</v>
      </c>
      <c r="D62" s="80">
        <v>44986</v>
      </c>
      <c r="E62" t="s">
        <v>688</v>
      </c>
      <c r="F62" s="31">
        <v>0</v>
      </c>
      <c r="G62" s="31">
        <v>1925</v>
      </c>
      <c r="H62" s="31">
        <f t="shared" si="3"/>
        <v>1925</v>
      </c>
      <c r="I62" s="43">
        <v>3743</v>
      </c>
      <c r="J62" s="43"/>
      <c r="K62" s="43"/>
      <c r="L62" s="43"/>
      <c r="M62" s="43"/>
    </row>
    <row r="63" spans="1:17" ht="12.75" customHeight="1" x14ac:dyDescent="0.2">
      <c r="A63">
        <v>3</v>
      </c>
      <c r="B63">
        <v>2023</v>
      </c>
      <c r="C63" s="53" t="str">
        <f t="shared" si="2"/>
        <v>Income: 1</v>
      </c>
      <c r="D63" s="80">
        <v>44988</v>
      </c>
      <c r="E63" t="s">
        <v>62</v>
      </c>
      <c r="F63" s="31">
        <v>1925</v>
      </c>
      <c r="G63" s="31">
        <v>0</v>
      </c>
      <c r="H63" s="31">
        <f t="shared" si="3"/>
        <v>0</v>
      </c>
      <c r="I63" s="43">
        <v>3744</v>
      </c>
      <c r="J63" s="43"/>
      <c r="K63" s="43"/>
      <c r="L63" s="43"/>
      <c r="M63" s="43"/>
    </row>
    <row r="64" spans="1:17" ht="12.75" customHeight="1" x14ac:dyDescent="0.2">
      <c r="A64">
        <v>3</v>
      </c>
      <c r="B64">
        <v>2023</v>
      </c>
      <c r="C64" s="53" t="str">
        <f t="shared" si="2"/>
        <v/>
      </c>
      <c r="D64" s="80">
        <v>44993</v>
      </c>
      <c r="E64" t="s">
        <v>697</v>
      </c>
      <c r="F64" s="31">
        <v>0</v>
      </c>
      <c r="G64" s="31">
        <v>100</v>
      </c>
      <c r="H64" s="31">
        <f t="shared" si="3"/>
        <v>100</v>
      </c>
      <c r="I64" s="43">
        <v>3745</v>
      </c>
      <c r="J64" s="43"/>
      <c r="K64" s="43"/>
      <c r="L64" s="43"/>
      <c r="M64" s="43"/>
    </row>
    <row r="65" spans="1:13" ht="12.75" customHeight="1" x14ac:dyDescent="0.2">
      <c r="A65">
        <v>4</v>
      </c>
      <c r="B65">
        <v>2023</v>
      </c>
      <c r="C65" s="53" t="str">
        <f>IFERROR("Late Fee "&amp;FIND("Late Fee",E65),IFERROR("Internet "&amp;FIND("Internet",E65),IFERROR("Utilities "&amp;FIND("Utilities",E65),IFERROR("Rent: "&amp;FIND("Rent",E65),IFERROR("Priv Tax: "&amp;FIND("Tax",E65),IFERROR("Income: "&amp;FIND("Payment",E65,1),""))))))</f>
        <v/>
      </c>
      <c r="D65" s="80">
        <v>45022</v>
      </c>
      <c r="E65" t="s">
        <v>721</v>
      </c>
      <c r="F65" s="31">
        <v>100</v>
      </c>
      <c r="G65" s="31">
        <v>0</v>
      </c>
      <c r="H65" s="31">
        <f xml:space="preserve"> H64 + G65 - F65</f>
        <v>0</v>
      </c>
      <c r="I65" s="43">
        <v>3773</v>
      </c>
      <c r="J65" s="43"/>
      <c r="K65" s="43"/>
      <c r="L65" s="43"/>
      <c r="M65" s="43"/>
    </row>
    <row r="66" spans="1:13" ht="12.75" customHeight="1" x14ac:dyDescent="0.2">
      <c r="C66" s="53" t="str">
        <f t="shared" ref="C66:C68" si="4">IFERROR("Late Fee "&amp;FIND("Late Fee",E66),IFERROR("Internet "&amp;FIND("Internet",E66),IFERROR("Utilities "&amp;FIND("Utilities",E66),IFERROR("Rent: "&amp;FIND("Rent",E66),IFERROR("Priv Tax: "&amp;FIND("Tax",E66),IFERROR("Income: "&amp;FIND("Payment",E66,1),""))))))</f>
        <v/>
      </c>
      <c r="F66" s="31"/>
      <c r="G66" s="31"/>
      <c r="H66" s="31"/>
      <c r="I66" s="43"/>
      <c r="J66" s="43"/>
      <c r="K66" s="43"/>
      <c r="L66" s="43"/>
      <c r="M66" s="43"/>
    </row>
    <row r="67" spans="1:13" ht="12.75" customHeight="1" x14ac:dyDescent="0.2">
      <c r="C67" s="53" t="str">
        <f t="shared" si="4"/>
        <v/>
      </c>
      <c r="F67" s="31"/>
      <c r="G67" s="31"/>
      <c r="H67" s="31"/>
      <c r="I67" s="43"/>
      <c r="J67" s="43"/>
      <c r="K67" s="43"/>
      <c r="L67" s="43"/>
      <c r="M67" s="43"/>
    </row>
    <row r="68" spans="1:13" ht="12.75" customHeight="1" x14ac:dyDescent="0.2">
      <c r="C68" s="53" t="str">
        <f t="shared" si="4"/>
        <v/>
      </c>
      <c r="F68" s="31"/>
      <c r="G68" s="31"/>
      <c r="H68" s="31"/>
      <c r="I68" s="40"/>
      <c r="J68" s="43"/>
      <c r="K68" s="43"/>
      <c r="L68" s="43"/>
      <c r="M68" s="43"/>
    </row>
    <row r="69" spans="1:13" ht="12.75" customHeight="1" x14ac:dyDescent="0.2">
      <c r="C69" s="53" t="str">
        <f t="shared" ref="C69:C103" si="5">IFERROR("Late Fee "&amp;FIND("Late Fee",E69),IFERROR("Internet "&amp;FIND("Internet",E69),IFERROR("Utilities "&amp;FIND("Utilities",E69),IFERROR("Rent: "&amp;FIND("Rent",E69),IFERROR("Priv Tax: "&amp;FIND("Tax",E69),IFERROR("Income: "&amp;FIND("Payment",E69,1),""))))))</f>
        <v/>
      </c>
      <c r="F69" s="31"/>
      <c r="G69" s="31"/>
      <c r="H69" s="31"/>
      <c r="I69" s="43"/>
      <c r="J69" s="43"/>
      <c r="K69" s="43"/>
      <c r="L69" s="43"/>
      <c r="M69" s="43"/>
    </row>
    <row r="70" spans="1:13" ht="12.75" customHeight="1" x14ac:dyDescent="0.2">
      <c r="C70" s="53" t="str">
        <f t="shared" si="5"/>
        <v/>
      </c>
      <c r="F70" s="31"/>
      <c r="G70" s="31"/>
      <c r="H70" s="31"/>
      <c r="I70" s="43"/>
      <c r="J70" s="43"/>
      <c r="K70" s="43"/>
      <c r="L70" s="43"/>
      <c r="M70" s="43"/>
    </row>
    <row r="71" spans="1:13" ht="12.75" customHeight="1" x14ac:dyDescent="0.2">
      <c r="C71" s="53" t="str">
        <f t="shared" si="5"/>
        <v/>
      </c>
      <c r="F71" s="31"/>
      <c r="G71" s="31"/>
      <c r="H71" s="31"/>
      <c r="I71" s="43"/>
      <c r="J71" s="43"/>
      <c r="K71" s="43"/>
      <c r="L71" s="43"/>
      <c r="M71" s="43"/>
    </row>
    <row r="72" spans="1:13" ht="12.75" customHeight="1" x14ac:dyDescent="0.2">
      <c r="C72" s="53" t="str">
        <f t="shared" si="5"/>
        <v/>
      </c>
      <c r="F72" s="31"/>
      <c r="G72" s="31"/>
      <c r="H72" s="31"/>
      <c r="I72" s="43"/>
      <c r="J72" s="43"/>
      <c r="K72" s="43"/>
      <c r="L72" s="43"/>
      <c r="M72" s="43"/>
    </row>
    <row r="73" spans="1:13" ht="12.75" customHeight="1" x14ac:dyDescent="0.2">
      <c r="C73" s="53" t="str">
        <f t="shared" si="5"/>
        <v/>
      </c>
      <c r="F73" s="31"/>
      <c r="G73" s="31"/>
      <c r="H73" s="31"/>
      <c r="I73" s="43"/>
      <c r="J73" s="43"/>
      <c r="K73" s="43"/>
      <c r="L73" s="43"/>
      <c r="M73" s="43"/>
    </row>
    <row r="74" spans="1:13" ht="12.75" customHeight="1" x14ac:dyDescent="0.2">
      <c r="C74" s="53" t="str">
        <f t="shared" si="5"/>
        <v/>
      </c>
      <c r="F74" s="31"/>
      <c r="G74" s="31"/>
      <c r="H74" s="31"/>
      <c r="I74" s="43"/>
      <c r="J74" s="43"/>
      <c r="K74" s="43"/>
      <c r="L74" s="43"/>
      <c r="M74" s="43"/>
    </row>
    <row r="75" spans="1:13" ht="12.75" customHeight="1" x14ac:dyDescent="0.2">
      <c r="C75" s="53" t="str">
        <f t="shared" si="5"/>
        <v/>
      </c>
      <c r="F75" s="31"/>
      <c r="G75" s="31"/>
      <c r="H75" s="31"/>
      <c r="I75" s="45"/>
      <c r="J75" s="43"/>
      <c r="K75" s="43"/>
      <c r="L75" s="43"/>
      <c r="M75" s="43"/>
    </row>
    <row r="76" spans="1:13" ht="12.75" customHeight="1" x14ac:dyDescent="0.2">
      <c r="C76" s="53" t="str">
        <f t="shared" si="5"/>
        <v/>
      </c>
      <c r="F76" s="31"/>
      <c r="G76" s="31"/>
      <c r="H76" s="31"/>
      <c r="I76" s="45"/>
      <c r="J76" s="43"/>
      <c r="K76" s="43"/>
      <c r="L76" s="43"/>
      <c r="M76" s="43"/>
    </row>
    <row r="77" spans="1:13" ht="12.75" customHeight="1" x14ac:dyDescent="0.2">
      <c r="C77" s="53" t="str">
        <f t="shared" si="5"/>
        <v/>
      </c>
      <c r="F77" s="31"/>
      <c r="G77" s="31"/>
      <c r="H77" s="31"/>
      <c r="I77" s="43"/>
      <c r="J77" s="43"/>
      <c r="K77" s="43"/>
      <c r="L77" s="43"/>
      <c r="M77" s="43"/>
    </row>
    <row r="78" spans="1:13" ht="12.75" customHeight="1" x14ac:dyDescent="0.2">
      <c r="C78" s="53" t="str">
        <f t="shared" si="5"/>
        <v/>
      </c>
      <c r="F78" s="31"/>
      <c r="G78" s="31"/>
      <c r="H78" s="31"/>
      <c r="I78" s="43"/>
      <c r="J78" s="43"/>
      <c r="K78" s="43"/>
      <c r="L78" s="43"/>
      <c r="M78" s="43"/>
    </row>
    <row r="79" spans="1:13" ht="12.75" customHeight="1" x14ac:dyDescent="0.2">
      <c r="C79" s="53" t="str">
        <f t="shared" si="5"/>
        <v/>
      </c>
      <c r="F79" s="31"/>
      <c r="G79" s="31"/>
      <c r="H79" s="31"/>
      <c r="I79" s="43"/>
      <c r="J79" s="43"/>
      <c r="K79" s="43"/>
      <c r="L79" s="43"/>
      <c r="M79" s="43"/>
    </row>
    <row r="80" spans="1:13" ht="12.75" customHeight="1" x14ac:dyDescent="0.2">
      <c r="C80" s="53" t="str">
        <f t="shared" si="5"/>
        <v/>
      </c>
      <c r="F80" s="31"/>
      <c r="G80" s="31"/>
      <c r="H80" s="31"/>
      <c r="I80" s="43"/>
      <c r="J80" s="43"/>
      <c r="K80" s="43"/>
      <c r="L80" s="43"/>
      <c r="M80" s="43"/>
    </row>
    <row r="81" spans="3:13" ht="12.75" customHeight="1" x14ac:dyDescent="0.2">
      <c r="C81" s="53" t="str">
        <f t="shared" si="5"/>
        <v/>
      </c>
      <c r="F81" s="31"/>
      <c r="G81" s="31"/>
      <c r="H81" s="31"/>
      <c r="I81" s="45"/>
      <c r="J81" s="43"/>
      <c r="K81" s="43"/>
      <c r="L81" s="43"/>
      <c r="M81" s="43"/>
    </row>
    <row r="82" spans="3:13" ht="12.75" customHeight="1" x14ac:dyDescent="0.2">
      <c r="C82" s="53" t="str">
        <f t="shared" si="5"/>
        <v/>
      </c>
      <c r="F82" s="31"/>
      <c r="G82" s="31"/>
      <c r="H82" s="31"/>
      <c r="I82" s="43"/>
      <c r="J82" s="43"/>
      <c r="K82" s="43"/>
      <c r="L82" s="43"/>
      <c r="M82" s="43"/>
    </row>
    <row r="83" spans="3:13" ht="12.75" customHeight="1" x14ac:dyDescent="0.2">
      <c r="C83" s="53" t="str">
        <f t="shared" si="5"/>
        <v/>
      </c>
      <c r="F83" s="31"/>
      <c r="G83" s="31"/>
      <c r="H83" s="31"/>
      <c r="I83" s="43"/>
      <c r="J83" s="43"/>
      <c r="K83" s="43"/>
      <c r="L83" s="43"/>
      <c r="M83" s="43"/>
    </row>
    <row r="84" spans="3:13" ht="12.75" customHeight="1" x14ac:dyDescent="0.2">
      <c r="C84" s="53" t="str">
        <f t="shared" si="5"/>
        <v/>
      </c>
      <c r="F84" s="31"/>
      <c r="G84" s="31"/>
      <c r="H84" s="31"/>
      <c r="I84" s="43"/>
      <c r="J84" s="43"/>
      <c r="K84" s="43"/>
      <c r="L84" s="43"/>
      <c r="M84" s="43"/>
    </row>
    <row r="85" spans="3:13" ht="12.75" customHeight="1" x14ac:dyDescent="0.2">
      <c r="C85" s="53" t="str">
        <f t="shared" si="5"/>
        <v/>
      </c>
      <c r="F85" s="31"/>
      <c r="G85" s="31"/>
      <c r="H85" s="31"/>
      <c r="I85" s="43"/>
      <c r="J85" s="43"/>
      <c r="K85" s="43"/>
      <c r="L85" s="43"/>
      <c r="M85" s="43"/>
    </row>
    <row r="86" spans="3:13" ht="12.75" customHeight="1" x14ac:dyDescent="0.2">
      <c r="C86" s="53" t="str">
        <f t="shared" si="5"/>
        <v/>
      </c>
      <c r="F86" s="31"/>
      <c r="G86" s="31"/>
      <c r="H86" s="31"/>
      <c r="I86" s="45"/>
      <c r="J86" s="43"/>
      <c r="K86" s="43"/>
      <c r="L86" s="43"/>
      <c r="M86" s="43"/>
    </row>
    <row r="87" spans="3:13" ht="12.75" customHeight="1" x14ac:dyDescent="0.2">
      <c r="C87" s="53" t="str">
        <f t="shared" si="5"/>
        <v/>
      </c>
      <c r="F87" s="31"/>
      <c r="G87" s="31"/>
      <c r="H87" s="31"/>
      <c r="I87" s="43"/>
      <c r="J87" s="43"/>
      <c r="K87" s="43"/>
      <c r="L87" s="43"/>
      <c r="M87" s="43"/>
    </row>
    <row r="88" spans="3:13" ht="12.75" customHeight="1" x14ac:dyDescent="0.2">
      <c r="C88" s="53" t="str">
        <f t="shared" si="5"/>
        <v/>
      </c>
      <c r="F88" s="31"/>
      <c r="G88" s="31"/>
      <c r="H88" s="31"/>
      <c r="I88" s="45"/>
      <c r="J88" s="43"/>
      <c r="K88" s="43"/>
      <c r="L88" s="43"/>
      <c r="M88" s="43"/>
    </row>
    <row r="89" spans="3:13" ht="12.75" customHeight="1" x14ac:dyDescent="0.2">
      <c r="C89" s="53" t="str">
        <f t="shared" si="5"/>
        <v/>
      </c>
      <c r="F89" s="31"/>
      <c r="G89" s="31"/>
      <c r="H89" s="31"/>
      <c r="I89" s="43"/>
      <c r="J89" s="43"/>
      <c r="K89" s="43"/>
      <c r="L89" s="43"/>
      <c r="M89" s="43"/>
    </row>
    <row r="90" spans="3:13" ht="12.75" customHeight="1" x14ac:dyDescent="0.2">
      <c r="C90" s="53" t="str">
        <f t="shared" si="5"/>
        <v/>
      </c>
      <c r="F90" s="31"/>
      <c r="G90" s="31"/>
      <c r="H90" s="31"/>
      <c r="I90" s="43"/>
      <c r="J90" s="43"/>
      <c r="K90" s="43"/>
      <c r="L90" s="43"/>
      <c r="M90" s="43"/>
    </row>
    <row r="91" spans="3:13" ht="12.75" customHeight="1" x14ac:dyDescent="0.2">
      <c r="C91" s="53" t="str">
        <f t="shared" si="5"/>
        <v/>
      </c>
      <c r="F91" s="31"/>
      <c r="G91" s="31"/>
      <c r="H91" s="31"/>
      <c r="I91" s="43"/>
      <c r="J91" s="43"/>
      <c r="K91" s="43"/>
      <c r="L91" s="43"/>
      <c r="M91" s="43"/>
    </row>
    <row r="92" spans="3:13" ht="12.75" customHeight="1" x14ac:dyDescent="0.2">
      <c r="C92" s="53" t="str">
        <f t="shared" si="5"/>
        <v/>
      </c>
      <c r="F92" s="31"/>
      <c r="G92" s="31"/>
      <c r="H92" s="31"/>
      <c r="I92" s="43"/>
      <c r="J92" s="43"/>
      <c r="K92" s="43"/>
      <c r="L92" s="43"/>
      <c r="M92" s="43"/>
    </row>
    <row r="93" spans="3:13" ht="12.75" customHeight="1" x14ac:dyDescent="0.2">
      <c r="C93" s="53" t="str">
        <f t="shared" si="5"/>
        <v/>
      </c>
      <c r="F93" s="31"/>
      <c r="G93" s="31"/>
      <c r="H93" s="31"/>
      <c r="I93" s="43"/>
      <c r="J93" s="43"/>
      <c r="K93" s="43"/>
      <c r="L93" s="43"/>
      <c r="M93" s="43"/>
    </row>
    <row r="94" spans="3:13" ht="12.75" customHeight="1" x14ac:dyDescent="0.2">
      <c r="C94" s="53" t="str">
        <f t="shared" si="5"/>
        <v/>
      </c>
      <c r="F94" s="31"/>
      <c r="G94" s="31"/>
      <c r="H94" s="31"/>
      <c r="I94" s="43"/>
      <c r="J94" s="43"/>
      <c r="K94" s="43"/>
      <c r="L94" s="43"/>
      <c r="M94" s="43"/>
    </row>
    <row r="95" spans="3:13" ht="12.75" customHeight="1" x14ac:dyDescent="0.2">
      <c r="C95" s="53" t="str">
        <f t="shared" si="5"/>
        <v/>
      </c>
      <c r="F95" s="31"/>
      <c r="G95" s="31"/>
      <c r="H95" s="31"/>
      <c r="I95" s="40"/>
      <c r="J95" s="43"/>
      <c r="K95" s="43"/>
      <c r="L95" s="43"/>
      <c r="M95" s="43"/>
    </row>
    <row r="96" spans="3:13" ht="12.75" customHeight="1" x14ac:dyDescent="0.2">
      <c r="C96" s="53" t="str">
        <f t="shared" si="5"/>
        <v/>
      </c>
      <c r="F96" s="31"/>
      <c r="G96" s="31"/>
      <c r="H96" s="31"/>
      <c r="I96" s="45"/>
      <c r="J96" s="43"/>
      <c r="K96" s="43"/>
      <c r="L96" s="43"/>
      <c r="M96" s="43"/>
    </row>
    <row r="97" spans="3:13" ht="12.75" customHeight="1" x14ac:dyDescent="0.2">
      <c r="C97" s="53" t="str">
        <f t="shared" si="5"/>
        <v/>
      </c>
      <c r="F97" s="31"/>
      <c r="G97" s="31"/>
      <c r="H97" s="31"/>
      <c r="I97" s="43"/>
      <c r="J97" s="43"/>
      <c r="K97" s="43"/>
      <c r="L97" s="43"/>
      <c r="M97" s="43"/>
    </row>
    <row r="98" spans="3:13" ht="12.75" customHeight="1" x14ac:dyDescent="0.2">
      <c r="C98" s="53" t="str">
        <f t="shared" si="5"/>
        <v/>
      </c>
      <c r="F98" s="31"/>
      <c r="G98" s="31"/>
      <c r="H98" s="31"/>
      <c r="I98" s="40"/>
      <c r="J98" s="45"/>
      <c r="K98" s="43"/>
      <c r="L98" s="43"/>
      <c r="M98" s="43"/>
    </row>
    <row r="99" spans="3:13" ht="12.75" customHeight="1" x14ac:dyDescent="0.2">
      <c r="C99" s="53" t="str">
        <f t="shared" si="5"/>
        <v/>
      </c>
      <c r="F99" s="31"/>
      <c r="G99" s="31"/>
      <c r="H99" s="31"/>
      <c r="I99" s="40"/>
      <c r="J99" s="44"/>
      <c r="K99" s="43"/>
      <c r="L99" s="43"/>
      <c r="M99" s="43"/>
    </row>
    <row r="100" spans="3:13" ht="12.75" customHeight="1" x14ac:dyDescent="0.2">
      <c r="C100" s="53" t="str">
        <f t="shared" si="5"/>
        <v/>
      </c>
      <c r="F100" s="31"/>
      <c r="G100" s="31"/>
      <c r="H100" s="31"/>
      <c r="I100" s="43"/>
      <c r="J100" s="43"/>
      <c r="K100" s="43"/>
      <c r="L100" s="43"/>
      <c r="M100" s="43"/>
    </row>
    <row r="101" spans="3:13" ht="12.75" customHeight="1" x14ac:dyDescent="0.2">
      <c r="C101" s="53" t="str">
        <f t="shared" si="5"/>
        <v/>
      </c>
      <c r="F101" s="31"/>
      <c r="G101" s="31"/>
      <c r="H101" s="31"/>
      <c r="I101" s="40"/>
      <c r="J101" s="43"/>
      <c r="K101" s="43"/>
      <c r="L101" s="43"/>
      <c r="M101" s="43"/>
    </row>
    <row r="102" spans="3:13" ht="12.75" customHeight="1" x14ac:dyDescent="0.2">
      <c r="C102" s="53" t="str">
        <f t="shared" si="5"/>
        <v/>
      </c>
      <c r="F102" s="31"/>
      <c r="G102" s="31"/>
      <c r="H102" s="31"/>
      <c r="I102" s="43"/>
      <c r="J102" s="43"/>
      <c r="K102" s="43"/>
      <c r="L102" s="43"/>
      <c r="M102" s="43"/>
    </row>
    <row r="103" spans="3:13" ht="12.75" customHeight="1" x14ac:dyDescent="0.2">
      <c r="C103" s="53" t="str">
        <f t="shared" si="5"/>
        <v/>
      </c>
      <c r="F103" s="31"/>
      <c r="G103" s="31"/>
      <c r="H103" s="31"/>
      <c r="I103" s="45"/>
      <c r="J103" s="43"/>
      <c r="K103" s="43"/>
      <c r="L103" s="43"/>
      <c r="M103" s="43"/>
    </row>
    <row r="104" spans="3:13" ht="12.75" customHeight="1" x14ac:dyDescent="0.2">
      <c r="F104" s="31"/>
      <c r="G104" s="31"/>
      <c r="H104" s="31"/>
      <c r="I104" s="40"/>
      <c r="J104" s="45"/>
      <c r="K104" s="43"/>
      <c r="L104" s="43"/>
      <c r="M104" s="43"/>
    </row>
    <row r="105" spans="3:13" ht="12.75" customHeight="1" x14ac:dyDescent="0.2">
      <c r="F105" s="31"/>
      <c r="G105" s="31"/>
      <c r="H105" s="31"/>
      <c r="I105" s="43"/>
      <c r="J105" s="43"/>
      <c r="K105" s="43"/>
      <c r="L105" s="43"/>
      <c r="M105" s="43"/>
    </row>
    <row r="106" spans="3:13" ht="12.75" customHeight="1" x14ac:dyDescent="0.2">
      <c r="F106" s="31"/>
      <c r="G106" s="31"/>
      <c r="H106" s="31"/>
      <c r="I106" s="43"/>
      <c r="J106" s="43"/>
      <c r="K106" s="43"/>
      <c r="L106" s="43"/>
      <c r="M106" s="43"/>
    </row>
    <row r="107" spans="3:13" ht="12.75" customHeight="1" x14ac:dyDescent="0.2">
      <c r="F107" s="31"/>
      <c r="G107" s="31"/>
      <c r="H107" s="31"/>
      <c r="I107" s="40"/>
      <c r="J107" s="43"/>
      <c r="K107" s="43"/>
      <c r="L107" s="43"/>
      <c r="M107" s="43"/>
    </row>
    <row r="108" spans="3:13" ht="12.75" customHeight="1" x14ac:dyDescent="0.2">
      <c r="F108" s="31"/>
      <c r="G108" s="31"/>
      <c r="H108" s="31"/>
      <c r="I108" s="43"/>
      <c r="J108" s="43"/>
      <c r="K108" s="43"/>
      <c r="L108" s="43"/>
      <c r="M108" s="43"/>
    </row>
    <row r="109" spans="3:13" ht="12.75" customHeight="1" x14ac:dyDescent="0.2">
      <c r="F109" s="31"/>
      <c r="G109" s="31"/>
      <c r="H109" s="31"/>
      <c r="I109" s="45"/>
      <c r="J109" s="43"/>
      <c r="K109" s="43"/>
      <c r="L109" s="43"/>
      <c r="M109" s="43"/>
    </row>
    <row r="110" spans="3:13" ht="12.75" customHeight="1" x14ac:dyDescent="0.2">
      <c r="F110" s="31"/>
      <c r="G110" s="31"/>
      <c r="H110" s="31"/>
      <c r="I110" s="40"/>
      <c r="J110" s="43"/>
      <c r="K110" s="43"/>
      <c r="L110" s="43"/>
      <c r="M110" s="43"/>
    </row>
    <row r="111" spans="3:13" ht="12.75" customHeight="1" x14ac:dyDescent="0.2">
      <c r="F111" s="31"/>
      <c r="G111" s="31"/>
      <c r="H111" s="31"/>
      <c r="I111" s="43"/>
      <c r="J111" s="43"/>
      <c r="K111" s="43"/>
      <c r="L111" s="43"/>
      <c r="M111" s="43"/>
    </row>
    <row r="112" spans="3:13" ht="12.75" customHeight="1" x14ac:dyDescent="0.2">
      <c r="F112" s="31"/>
      <c r="G112" s="31"/>
      <c r="H112" s="31"/>
      <c r="I112" s="40"/>
      <c r="J112" s="43"/>
      <c r="K112" s="43"/>
      <c r="L112" s="43"/>
      <c r="M112" s="43"/>
    </row>
    <row r="113" spans="6:13" ht="12.75" customHeight="1" x14ac:dyDescent="0.2">
      <c r="F113" s="31"/>
      <c r="G113" s="31"/>
      <c r="H113" s="31"/>
      <c r="I113" s="45"/>
      <c r="J113" s="43"/>
      <c r="K113" s="43"/>
      <c r="L113" s="43"/>
      <c r="M113" s="43"/>
    </row>
    <row r="114" spans="6:13" ht="12.75" customHeight="1" x14ac:dyDescent="0.2">
      <c r="F114" s="31"/>
      <c r="G114" s="31"/>
      <c r="H114" s="31"/>
      <c r="I114" s="45"/>
      <c r="J114" s="43"/>
      <c r="K114" s="43"/>
      <c r="L114" s="43"/>
      <c r="M114" s="43"/>
    </row>
    <row r="115" spans="6:13" ht="12.75" customHeight="1" x14ac:dyDescent="0.2">
      <c r="F115" s="31"/>
      <c r="G115" s="31"/>
      <c r="H115" s="31"/>
      <c r="I115" s="43"/>
      <c r="J115" s="43"/>
      <c r="K115" s="43"/>
      <c r="L115" s="43"/>
      <c r="M115" s="43"/>
    </row>
    <row r="116" spans="6:13" ht="12.75" customHeight="1" x14ac:dyDescent="0.2">
      <c r="F116" s="31"/>
      <c r="G116" s="31"/>
      <c r="H116" s="31"/>
      <c r="I116" s="40"/>
      <c r="J116" s="43"/>
      <c r="K116" s="43"/>
      <c r="L116" s="43"/>
      <c r="M116" s="43"/>
    </row>
    <row r="117" spans="6:13" ht="12.75" customHeight="1" x14ac:dyDescent="0.2">
      <c r="F117" s="31"/>
      <c r="G117" s="31"/>
      <c r="H117" s="31"/>
      <c r="I117" s="45"/>
      <c r="J117" s="43"/>
      <c r="K117" s="43"/>
      <c r="L117" s="43"/>
      <c r="M117" s="43"/>
    </row>
    <row r="118" spans="6:13" ht="12.75" customHeight="1" x14ac:dyDescent="0.2">
      <c r="F118" s="31"/>
      <c r="G118" s="31"/>
      <c r="H118" s="31"/>
      <c r="I118" s="40"/>
      <c r="J118" s="43"/>
      <c r="K118" s="43"/>
      <c r="L118" s="43"/>
      <c r="M118" s="43"/>
    </row>
    <row r="119" spans="6:13" ht="12.75" customHeight="1" x14ac:dyDescent="0.2">
      <c r="F119" s="31"/>
      <c r="G119" s="31"/>
      <c r="H119" s="31"/>
      <c r="I119" s="43"/>
      <c r="J119" s="43"/>
      <c r="K119" s="43"/>
      <c r="L119" s="43"/>
      <c r="M119" s="43"/>
    </row>
    <row r="120" spans="6:13" ht="12.75" customHeight="1" x14ac:dyDescent="0.2">
      <c r="F120" s="31"/>
      <c r="G120" s="31"/>
      <c r="H120" s="31"/>
      <c r="I120" s="43"/>
      <c r="J120" s="43"/>
      <c r="K120" s="43"/>
      <c r="L120" s="43"/>
      <c r="M120" s="43"/>
    </row>
    <row r="121" spans="6:13" ht="12.75" customHeight="1" x14ac:dyDescent="0.2">
      <c r="F121" s="31"/>
      <c r="G121" s="31"/>
      <c r="H121" s="31"/>
      <c r="I121" s="40"/>
      <c r="J121" s="43"/>
      <c r="K121" s="43"/>
      <c r="L121" s="43"/>
      <c r="M121" s="43"/>
    </row>
    <row r="122" spans="6:13" ht="12.75" customHeight="1" x14ac:dyDescent="0.2">
      <c r="F122" s="31"/>
      <c r="G122" s="31"/>
      <c r="H122" s="31"/>
      <c r="I122" s="40"/>
      <c r="J122" s="43"/>
      <c r="K122" s="43"/>
      <c r="L122" s="43"/>
      <c r="M122" s="43"/>
    </row>
    <row r="123" spans="6:13" ht="12.75" customHeight="1" x14ac:dyDescent="0.2">
      <c r="F123" s="31"/>
      <c r="G123" s="31"/>
      <c r="H123" s="31"/>
      <c r="I123" s="40"/>
      <c r="J123" s="43"/>
      <c r="K123" s="43"/>
      <c r="L123" s="43"/>
      <c r="M123" s="43"/>
    </row>
    <row r="124" spans="6:13" ht="12.75" customHeight="1" x14ac:dyDescent="0.2">
      <c r="F124" s="31"/>
      <c r="G124" s="31"/>
      <c r="H124" s="31"/>
      <c r="I124" s="43"/>
      <c r="J124" s="43"/>
      <c r="K124" s="43"/>
      <c r="L124" s="43"/>
      <c r="M124" s="43"/>
    </row>
    <row r="125" spans="6:13" ht="12.75" customHeight="1" x14ac:dyDescent="0.2">
      <c r="F125" s="31"/>
      <c r="G125" s="31"/>
      <c r="H125" s="31"/>
      <c r="I125" s="43"/>
      <c r="J125" s="43"/>
      <c r="K125" s="43"/>
      <c r="L125" s="43"/>
      <c r="M125" s="43"/>
    </row>
    <row r="126" spans="6:13" ht="12.75" customHeight="1" x14ac:dyDescent="0.2">
      <c r="F126" s="31"/>
      <c r="G126" s="31"/>
      <c r="H126" s="31"/>
      <c r="I126" s="40"/>
      <c r="J126" s="43"/>
      <c r="K126" s="43"/>
      <c r="L126" s="43"/>
      <c r="M126" s="43"/>
    </row>
    <row r="127" spans="6:13" ht="12.75" customHeight="1" x14ac:dyDescent="0.2">
      <c r="F127" s="31"/>
      <c r="G127" s="31"/>
      <c r="H127" s="31"/>
      <c r="I127" s="40"/>
      <c r="J127" s="43"/>
      <c r="K127" s="43"/>
      <c r="L127" s="43"/>
      <c r="M127" s="43"/>
    </row>
    <row r="128" spans="6:13" ht="12.75" customHeight="1" x14ac:dyDescent="0.2">
      <c r="F128" s="31"/>
      <c r="G128" s="31"/>
      <c r="H128" s="31"/>
      <c r="I128" s="40"/>
      <c r="J128" s="43"/>
      <c r="K128" s="43"/>
      <c r="L128" s="43"/>
      <c r="M128" s="43"/>
    </row>
    <row r="129" spans="6:17" ht="12.75" customHeight="1" x14ac:dyDescent="0.2">
      <c r="F129" s="31"/>
      <c r="G129" s="31"/>
      <c r="H129" s="31"/>
      <c r="I129" s="43"/>
      <c r="J129" s="43"/>
      <c r="K129" s="43"/>
      <c r="L129" s="43"/>
      <c r="M129" s="43"/>
    </row>
    <row r="130" spans="6:17" ht="12.75" customHeight="1" x14ac:dyDescent="0.2">
      <c r="F130" s="31"/>
      <c r="G130" s="31"/>
      <c r="H130" s="31"/>
      <c r="I130" s="43"/>
      <c r="J130" s="43"/>
      <c r="K130" s="43"/>
      <c r="L130" s="43"/>
      <c r="M130" s="43"/>
    </row>
    <row r="131" spans="6:17" ht="12.75" customHeight="1" x14ac:dyDescent="0.2">
      <c r="F131" s="31"/>
      <c r="G131" s="31"/>
      <c r="H131" s="31"/>
      <c r="I131" s="40"/>
      <c r="J131" s="43"/>
      <c r="K131" s="43"/>
      <c r="L131" s="43"/>
      <c r="M131" s="43"/>
    </row>
    <row r="132" spans="6:17" ht="12.75" customHeight="1" x14ac:dyDescent="0.2">
      <c r="F132" s="31"/>
      <c r="G132" s="31"/>
      <c r="H132" s="31"/>
      <c r="I132" s="40"/>
      <c r="J132" s="43"/>
      <c r="K132" s="43"/>
      <c r="L132" s="43"/>
      <c r="M132" s="43"/>
    </row>
    <row r="133" spans="6:17" ht="12.75" customHeight="1" x14ac:dyDescent="0.2">
      <c r="F133" s="31"/>
      <c r="G133" s="31"/>
      <c r="H133" s="31"/>
      <c r="I133" s="43"/>
      <c r="J133" s="43"/>
      <c r="K133" s="43"/>
      <c r="L133" s="43"/>
      <c r="M133" s="40"/>
      <c r="O133" s="28"/>
      <c r="P133" s="28"/>
    </row>
    <row r="134" spans="6:17" ht="12.75" customHeight="1" x14ac:dyDescent="0.2">
      <c r="F134" s="31"/>
      <c r="G134" s="31"/>
      <c r="H134" s="31"/>
      <c r="I134" s="43"/>
      <c r="J134" s="43"/>
      <c r="K134" s="43"/>
      <c r="L134" s="43"/>
      <c r="M134" s="40"/>
      <c r="O134" s="28"/>
      <c r="P134" s="28"/>
      <c r="Q134" s="29"/>
    </row>
    <row r="135" spans="6:17" ht="12.75" customHeight="1" x14ac:dyDescent="0.2">
      <c r="F135" s="31"/>
      <c r="G135" s="31"/>
      <c r="H135" s="31"/>
      <c r="I135" s="40"/>
      <c r="J135" s="43"/>
      <c r="K135" s="43"/>
      <c r="L135" s="43"/>
      <c r="M135" s="43"/>
    </row>
    <row r="136" spans="6:17" ht="12.75" customHeight="1" x14ac:dyDescent="0.2">
      <c r="F136" s="31"/>
      <c r="G136" s="31"/>
      <c r="H136" s="31"/>
      <c r="I136" s="40"/>
      <c r="J136" s="40"/>
      <c r="K136" s="43"/>
      <c r="L136" s="43"/>
      <c r="M136" s="43"/>
    </row>
    <row r="137" spans="6:17" ht="12.75" customHeight="1" x14ac:dyDescent="0.2">
      <c r="F137" s="31"/>
      <c r="G137" s="31"/>
      <c r="H137" s="31"/>
      <c r="I137" s="40"/>
      <c r="J137" s="41"/>
      <c r="K137" s="43"/>
      <c r="L137" s="43"/>
      <c r="M137" s="43"/>
    </row>
    <row r="138" spans="6:17" ht="12.75" customHeight="1" x14ac:dyDescent="0.2">
      <c r="F138" s="31"/>
      <c r="G138" s="31"/>
      <c r="H138" s="31"/>
      <c r="I138" s="43"/>
      <c r="J138" s="43"/>
      <c r="K138" s="43"/>
      <c r="L138" s="43"/>
      <c r="M138" s="40"/>
      <c r="O138" s="28"/>
      <c r="P138" s="28"/>
    </row>
    <row r="139" spans="6:17" ht="12.75" customHeight="1" x14ac:dyDescent="0.2">
      <c r="F139" s="31"/>
      <c r="G139" s="31"/>
      <c r="H139" s="31"/>
      <c r="I139" s="43"/>
      <c r="J139" s="43"/>
      <c r="K139" s="43"/>
      <c r="L139" s="43"/>
      <c r="M139" s="40"/>
      <c r="O139" s="28"/>
      <c r="P139" s="28"/>
      <c r="Q139" s="29"/>
    </row>
    <row r="140" spans="6:17" ht="12.75" customHeight="1" x14ac:dyDescent="0.2">
      <c r="F140" s="31"/>
      <c r="G140" s="31"/>
      <c r="H140" s="31"/>
      <c r="I140" s="43"/>
      <c r="J140" s="43"/>
      <c r="K140" s="43"/>
      <c r="L140" s="43"/>
      <c r="M140" s="43"/>
    </row>
    <row r="141" spans="6:17" ht="12.75" customHeight="1" x14ac:dyDescent="0.2">
      <c r="F141" s="31"/>
      <c r="G141" s="31"/>
      <c r="H141" s="31"/>
      <c r="I141" s="43"/>
      <c r="J141" s="43"/>
      <c r="K141" s="43"/>
      <c r="L141" s="43"/>
      <c r="M141" s="43"/>
    </row>
    <row r="142" spans="6:17" ht="12.75" customHeight="1" x14ac:dyDescent="0.2">
      <c r="F142" s="31"/>
      <c r="G142" s="31"/>
      <c r="H142" s="31"/>
      <c r="I142" s="40"/>
      <c r="J142" s="43"/>
      <c r="K142" s="43"/>
      <c r="L142" s="43"/>
      <c r="M142" s="43"/>
    </row>
    <row r="143" spans="6:17" ht="12.75" customHeight="1" x14ac:dyDescent="0.2">
      <c r="F143" s="31"/>
      <c r="G143" s="31"/>
      <c r="H143" s="31"/>
      <c r="I143" s="43"/>
      <c r="J143" s="43"/>
      <c r="K143" s="43"/>
      <c r="L143" s="43"/>
      <c r="M143" s="43"/>
    </row>
    <row r="144" spans="6:17" ht="12.75" customHeight="1" x14ac:dyDescent="0.2">
      <c r="F144" s="31"/>
      <c r="G144" s="31"/>
      <c r="H144" s="31"/>
      <c r="I144" s="40"/>
      <c r="J144" s="43"/>
      <c r="K144" s="43"/>
      <c r="L144" s="43"/>
      <c r="M144" s="43"/>
    </row>
    <row r="145" spans="6:13" ht="12.75" customHeight="1" x14ac:dyDescent="0.2">
      <c r="F145" s="31"/>
      <c r="G145" s="31"/>
      <c r="H145" s="31"/>
      <c r="I145" s="40"/>
      <c r="J145" s="43"/>
      <c r="K145" s="43"/>
      <c r="L145" s="43"/>
      <c r="M145" s="43"/>
    </row>
    <row r="146" spans="6:13" ht="12.75" customHeight="1" x14ac:dyDescent="0.2">
      <c r="F146" s="31"/>
      <c r="G146" s="31"/>
      <c r="H146" s="31"/>
      <c r="I146" s="43"/>
      <c r="J146" s="43"/>
      <c r="K146" s="43"/>
      <c r="L146" s="43"/>
      <c r="M146" s="43"/>
    </row>
    <row r="147" spans="6:13" ht="12.75" customHeight="1" x14ac:dyDescent="0.2">
      <c r="F147" s="31"/>
      <c r="G147" s="31"/>
      <c r="H147" s="31"/>
      <c r="I147" s="43"/>
      <c r="J147" s="43"/>
      <c r="K147" s="43"/>
      <c r="L147" s="43"/>
      <c r="M147" s="43"/>
    </row>
    <row r="148" spans="6:13" ht="12.75" customHeight="1" x14ac:dyDescent="0.2">
      <c r="F148" s="31"/>
      <c r="G148" s="31"/>
      <c r="H148" s="31"/>
      <c r="I148" s="43"/>
      <c r="J148" s="43"/>
      <c r="K148" s="43"/>
      <c r="L148" s="43"/>
      <c r="M148" s="43"/>
    </row>
    <row r="149" spans="6:13" ht="12.75" customHeight="1" x14ac:dyDescent="0.2">
      <c r="F149" s="31"/>
      <c r="G149" s="31"/>
      <c r="H149" s="31"/>
      <c r="I149" s="40"/>
      <c r="J149" s="40"/>
      <c r="K149" s="43"/>
      <c r="L149" s="43"/>
      <c r="M149" s="43"/>
    </row>
    <row r="150" spans="6:13" ht="12.75" customHeight="1" x14ac:dyDescent="0.2">
      <c r="F150" s="31"/>
      <c r="G150" s="31"/>
      <c r="H150" s="31"/>
      <c r="I150" s="43"/>
      <c r="J150" s="40"/>
      <c r="K150" s="43"/>
      <c r="L150" s="43"/>
      <c r="M150" s="43"/>
    </row>
    <row r="151" spans="6:13" ht="12.75" customHeight="1" x14ac:dyDescent="0.2">
      <c r="F151" s="31"/>
      <c r="G151" s="31"/>
      <c r="H151" s="31"/>
      <c r="I151" s="40"/>
      <c r="J151" s="40"/>
      <c r="K151" s="49"/>
      <c r="L151" s="43"/>
      <c r="M151" s="43"/>
    </row>
    <row r="152" spans="6:13" ht="12.75" customHeight="1" x14ac:dyDescent="0.2">
      <c r="F152" s="31"/>
      <c r="G152" s="31"/>
      <c r="H152" s="31"/>
      <c r="I152" s="40"/>
      <c r="J152" s="43"/>
      <c r="K152" s="43"/>
      <c r="L152" s="43"/>
      <c r="M152" s="43"/>
    </row>
    <row r="153" spans="6:13" ht="12.75" customHeight="1" x14ac:dyDescent="0.2">
      <c r="F153" s="31"/>
      <c r="G153" s="31"/>
      <c r="H153" s="31"/>
      <c r="I153" s="43"/>
      <c r="J153" s="43"/>
      <c r="K153" s="43"/>
      <c r="L153" s="43"/>
      <c r="M153" s="43"/>
    </row>
    <row r="154" spans="6:13" ht="12.75" customHeight="1" x14ac:dyDescent="0.2">
      <c r="F154" s="31"/>
      <c r="G154" s="31"/>
      <c r="H154" s="31"/>
      <c r="I154" s="43"/>
      <c r="J154" s="43"/>
      <c r="K154" s="43"/>
      <c r="L154" s="43"/>
      <c r="M154" s="43"/>
    </row>
    <row r="155" spans="6:13" ht="12.75" customHeight="1" x14ac:dyDescent="0.2">
      <c r="F155" s="31"/>
      <c r="G155" s="31"/>
      <c r="H155" s="31"/>
      <c r="I155" s="43"/>
      <c r="J155" s="43"/>
      <c r="K155" s="43"/>
      <c r="L155" s="43"/>
      <c r="M155" s="43"/>
    </row>
    <row r="156" spans="6:13" ht="12.75" customHeight="1" x14ac:dyDescent="0.2">
      <c r="F156" s="31"/>
      <c r="G156" s="31"/>
      <c r="H156" s="31"/>
      <c r="I156" s="40"/>
      <c r="J156" s="43"/>
      <c r="K156" s="43"/>
      <c r="L156" s="43"/>
      <c r="M156" s="43"/>
    </row>
    <row r="157" spans="6:13" ht="12.75" customHeight="1" x14ac:dyDescent="0.2">
      <c r="F157" s="31"/>
      <c r="G157" s="31"/>
      <c r="H157" s="31"/>
      <c r="I157" s="43"/>
      <c r="J157" s="40"/>
      <c r="K157" s="43"/>
      <c r="L157" s="43"/>
      <c r="M157" s="43"/>
    </row>
    <row r="158" spans="6:13" ht="12.75" customHeight="1" x14ac:dyDescent="0.2">
      <c r="F158" s="31"/>
      <c r="G158" s="31"/>
      <c r="H158" s="31"/>
      <c r="I158" s="40"/>
      <c r="J158" s="40"/>
      <c r="K158" s="49"/>
      <c r="L158" s="43"/>
      <c r="M158" s="43"/>
    </row>
    <row r="159" spans="6:13" ht="12.75" customHeight="1" x14ac:dyDescent="0.2">
      <c r="F159" s="31"/>
      <c r="G159" s="31"/>
      <c r="H159" s="31"/>
      <c r="I159" s="40"/>
      <c r="J159" s="43"/>
      <c r="K159" s="43"/>
      <c r="L159" s="43"/>
      <c r="M159" s="43"/>
    </row>
    <row r="160" spans="6:13" ht="12.75" customHeight="1" x14ac:dyDescent="0.2">
      <c r="F160" s="31"/>
      <c r="G160" s="31"/>
      <c r="H160" s="31"/>
      <c r="I160" s="43"/>
      <c r="J160" s="43"/>
      <c r="K160" s="43"/>
      <c r="L160" s="43"/>
      <c r="M160" s="43"/>
    </row>
    <row r="161" spans="6:14" ht="12.75" customHeight="1" x14ac:dyDescent="0.2">
      <c r="F161" s="31"/>
      <c r="G161" s="31"/>
      <c r="H161" s="31"/>
      <c r="I161" s="43"/>
      <c r="J161" s="43"/>
      <c r="K161" s="43"/>
      <c r="L161" s="43"/>
      <c r="M161" s="43"/>
    </row>
    <row r="162" spans="6:14" ht="12.75" customHeight="1" x14ac:dyDescent="0.2">
      <c r="F162" s="31"/>
      <c r="G162" s="31"/>
      <c r="H162" s="31"/>
      <c r="I162" s="45"/>
      <c r="J162" s="40"/>
      <c r="K162" s="43"/>
      <c r="L162" s="43"/>
      <c r="M162" s="43"/>
    </row>
    <row r="163" spans="6:14" ht="12.75" customHeight="1" x14ac:dyDescent="0.2">
      <c r="F163" s="31"/>
      <c r="G163" s="31"/>
      <c r="H163" s="31"/>
      <c r="I163" s="40"/>
      <c r="J163" s="40"/>
      <c r="K163" s="49"/>
      <c r="L163" s="43"/>
      <c r="M163" s="43"/>
    </row>
    <row r="164" spans="6:14" ht="12.75" customHeight="1" x14ac:dyDescent="0.2">
      <c r="F164" s="31"/>
      <c r="G164" s="31"/>
      <c r="H164" s="31"/>
      <c r="I164" s="40"/>
      <c r="J164" s="43"/>
      <c r="K164" s="43"/>
      <c r="L164" s="43"/>
      <c r="M164" s="43"/>
    </row>
    <row r="165" spans="6:14" ht="12.75" customHeight="1" x14ac:dyDescent="0.2">
      <c r="F165" s="31"/>
      <c r="G165" s="31"/>
      <c r="H165" s="31"/>
      <c r="I165" s="43"/>
      <c r="J165" s="43"/>
      <c r="K165" s="43"/>
      <c r="L165" s="43"/>
      <c r="M165" s="43"/>
    </row>
    <row r="166" spans="6:14" ht="12.75" customHeight="1" x14ac:dyDescent="0.2">
      <c r="F166" s="31"/>
      <c r="G166" s="31"/>
      <c r="H166" s="31"/>
      <c r="I166" s="43"/>
      <c r="J166" s="43"/>
      <c r="K166" s="43"/>
      <c r="L166" s="43"/>
      <c r="M166" s="43"/>
    </row>
    <row r="167" spans="6:14" ht="12.75" customHeight="1" x14ac:dyDescent="0.2">
      <c r="F167" s="31"/>
      <c r="G167" s="31"/>
      <c r="H167" s="31"/>
      <c r="I167" s="45"/>
      <c r="J167" s="40"/>
      <c r="K167" s="43"/>
      <c r="L167" s="43"/>
      <c r="M167" s="43"/>
    </row>
    <row r="168" spans="6:14" ht="12.75" customHeight="1" x14ac:dyDescent="0.2">
      <c r="F168" s="31"/>
      <c r="G168" s="31"/>
      <c r="H168" s="31"/>
      <c r="I168" s="40"/>
      <c r="J168" s="40"/>
      <c r="K168" s="49"/>
      <c r="L168" s="43"/>
      <c r="M168" s="43"/>
    </row>
    <row r="169" spans="6:14" ht="12.75" customHeight="1" x14ac:dyDescent="0.2">
      <c r="F169" s="31"/>
      <c r="G169" s="31"/>
      <c r="H169" s="31"/>
      <c r="I169" s="40"/>
      <c r="J169" s="43"/>
      <c r="K169" s="43"/>
      <c r="L169" s="45"/>
      <c r="M169" s="43"/>
    </row>
    <row r="170" spans="6:14" ht="12.75" customHeight="1" x14ac:dyDescent="0.2">
      <c r="F170" s="31"/>
      <c r="G170" s="31"/>
      <c r="H170" s="31"/>
      <c r="I170" s="43"/>
      <c r="J170" s="43"/>
      <c r="K170" s="43"/>
      <c r="L170" s="45"/>
      <c r="M170" s="43"/>
    </row>
    <row r="171" spans="6:14" ht="12.75" customHeight="1" x14ac:dyDescent="0.2">
      <c r="F171" s="31"/>
      <c r="G171" s="31"/>
      <c r="H171" s="31"/>
      <c r="I171" s="43"/>
      <c r="J171" s="43"/>
      <c r="K171" s="43"/>
      <c r="L171" s="45"/>
      <c r="M171" s="45"/>
    </row>
    <row r="172" spans="6:14" ht="12.75" customHeight="1" x14ac:dyDescent="0.2">
      <c r="F172" s="31"/>
      <c r="G172" s="31"/>
      <c r="H172" s="31"/>
      <c r="I172" s="43"/>
      <c r="J172" s="43"/>
      <c r="K172" s="43"/>
      <c r="L172" s="45"/>
      <c r="M172" s="45"/>
      <c r="N172" s="29"/>
    </row>
    <row r="173" spans="6:14" ht="12.75" customHeight="1" x14ac:dyDescent="0.2">
      <c r="F173" s="31"/>
      <c r="G173" s="31"/>
      <c r="H173" s="31"/>
      <c r="I173" s="43"/>
      <c r="J173" s="40"/>
      <c r="K173" s="43"/>
      <c r="L173" s="45"/>
      <c r="M173" s="45"/>
    </row>
    <row r="174" spans="6:14" ht="12.75" customHeight="1" x14ac:dyDescent="0.2">
      <c r="F174" s="31"/>
      <c r="G174" s="31"/>
      <c r="H174" s="31"/>
      <c r="I174" s="43"/>
      <c r="J174" s="41"/>
      <c r="K174" s="43"/>
      <c r="L174" s="45"/>
      <c r="M174" s="45"/>
    </row>
    <row r="175" spans="6:14" ht="12.75" customHeight="1" x14ac:dyDescent="0.2">
      <c r="F175" s="31"/>
      <c r="G175" s="31"/>
      <c r="H175" s="31"/>
      <c r="I175" s="40"/>
      <c r="J175" s="40"/>
      <c r="K175" s="49"/>
      <c r="L175" s="43"/>
      <c r="M175" s="43"/>
    </row>
    <row r="176" spans="6:14" ht="12.75" customHeight="1" x14ac:dyDescent="0.2">
      <c r="F176" s="31"/>
      <c r="G176" s="31"/>
      <c r="H176" s="31"/>
      <c r="I176" s="40"/>
      <c r="J176" s="43"/>
      <c r="K176" s="43"/>
      <c r="L176" s="43"/>
      <c r="M176" s="43"/>
    </row>
    <row r="177" spans="6:13" ht="12.75" customHeight="1" x14ac:dyDescent="0.2">
      <c r="F177" s="31"/>
      <c r="G177" s="31"/>
      <c r="H177" s="31"/>
      <c r="I177" s="43"/>
      <c r="J177" s="43"/>
      <c r="K177" s="43"/>
      <c r="L177" s="43"/>
      <c r="M177" s="43"/>
    </row>
    <row r="178" spans="6:13" ht="12.75" customHeight="1" x14ac:dyDescent="0.2">
      <c r="F178" s="31"/>
      <c r="G178" s="31"/>
      <c r="H178" s="31"/>
      <c r="I178" s="43"/>
      <c r="J178" s="43"/>
      <c r="K178" s="43"/>
      <c r="L178" s="43"/>
      <c r="M178" s="43"/>
    </row>
    <row r="179" spans="6:13" ht="12.75" customHeight="1" x14ac:dyDescent="0.2">
      <c r="F179" s="31"/>
      <c r="G179" s="31"/>
      <c r="H179" s="31"/>
      <c r="I179" s="43"/>
      <c r="J179" s="43"/>
      <c r="K179" s="43"/>
      <c r="L179" s="43"/>
      <c r="M179" s="43"/>
    </row>
    <row r="180" spans="6:13" ht="12.75" customHeight="1" x14ac:dyDescent="0.2">
      <c r="F180" s="31"/>
      <c r="G180" s="31"/>
      <c r="H180" s="31"/>
      <c r="I180" s="40"/>
      <c r="J180" s="43"/>
      <c r="K180" s="43"/>
      <c r="L180" s="43"/>
      <c r="M180" s="43"/>
    </row>
    <row r="181" spans="6:13" ht="12.75" customHeight="1" x14ac:dyDescent="0.2">
      <c r="F181" s="31"/>
      <c r="G181" s="31"/>
      <c r="H181" s="31"/>
      <c r="I181" s="40"/>
      <c r="J181" s="43"/>
      <c r="K181" s="43"/>
      <c r="L181" s="43"/>
      <c r="M181" s="43"/>
    </row>
    <row r="182" spans="6:13" ht="12.75" customHeight="1" x14ac:dyDescent="0.2">
      <c r="F182" s="31"/>
      <c r="G182" s="31"/>
      <c r="H182" s="31"/>
      <c r="I182" s="43"/>
      <c r="J182" s="43"/>
      <c r="K182" s="43"/>
      <c r="L182" s="43"/>
      <c r="M182" s="43"/>
    </row>
    <row r="183" spans="6:13" ht="12.75" customHeight="1" x14ac:dyDescent="0.2">
      <c r="F183" s="31"/>
      <c r="G183" s="31"/>
      <c r="H183" s="31"/>
      <c r="I183" s="43"/>
      <c r="J183" s="43"/>
      <c r="K183" s="43"/>
      <c r="L183" s="43"/>
      <c r="M183" s="43"/>
    </row>
    <row r="184" spans="6:13" ht="12.75" customHeight="1" x14ac:dyDescent="0.2">
      <c r="F184" s="31"/>
      <c r="G184" s="31"/>
      <c r="H184" s="31"/>
      <c r="I184" s="43"/>
      <c r="J184" s="43"/>
      <c r="K184" s="43"/>
      <c r="L184" s="43"/>
      <c r="M184" s="43"/>
    </row>
    <row r="185" spans="6:13" ht="12.75" customHeight="1" x14ac:dyDescent="0.2">
      <c r="F185" s="31"/>
      <c r="G185" s="31"/>
      <c r="H185" s="31"/>
      <c r="I185" s="43"/>
      <c r="J185" s="43"/>
      <c r="K185" s="43"/>
      <c r="L185" s="43"/>
      <c r="M185" s="43"/>
    </row>
    <row r="186" spans="6:13" ht="12.75" customHeight="1" x14ac:dyDescent="0.2">
      <c r="F186" s="31"/>
      <c r="G186" s="31"/>
      <c r="H186" s="31"/>
      <c r="I186" s="40"/>
      <c r="J186" s="43"/>
      <c r="K186" s="43"/>
      <c r="L186" s="43"/>
      <c r="M186" s="43"/>
    </row>
    <row r="187" spans="6:13" ht="12.75" customHeight="1" x14ac:dyDescent="0.2">
      <c r="F187" s="31"/>
      <c r="G187" s="31"/>
      <c r="H187" s="31"/>
      <c r="I187" s="40"/>
      <c r="J187" s="43"/>
      <c r="K187" s="43"/>
      <c r="L187" s="43"/>
      <c r="M187" s="43"/>
    </row>
    <row r="188" spans="6:13" ht="12.75" customHeight="1" x14ac:dyDescent="0.2">
      <c r="F188" s="31"/>
      <c r="G188" s="31"/>
      <c r="H188" s="31"/>
      <c r="I188" s="43"/>
      <c r="J188" s="43"/>
      <c r="K188" s="43"/>
      <c r="L188" s="43"/>
      <c r="M188" s="43"/>
    </row>
    <row r="189" spans="6:13" ht="12.75" customHeight="1" x14ac:dyDescent="0.2">
      <c r="F189" s="31"/>
      <c r="G189" s="31"/>
      <c r="H189" s="31"/>
      <c r="I189" s="43"/>
      <c r="J189" s="43"/>
      <c r="K189" s="45"/>
      <c r="L189" s="45"/>
      <c r="M189" s="43"/>
    </row>
    <row r="190" spans="6:13" ht="12.75" customHeight="1" x14ac:dyDescent="0.2">
      <c r="F190" s="31"/>
      <c r="G190" s="31"/>
      <c r="H190" s="31"/>
      <c r="I190" s="40"/>
      <c r="J190" s="43"/>
      <c r="K190" s="39"/>
      <c r="L190" s="43"/>
      <c r="M190" s="43"/>
    </row>
    <row r="191" spans="6:13" ht="12.75" customHeight="1" x14ac:dyDescent="0.2">
      <c r="F191" s="31"/>
      <c r="G191" s="31"/>
      <c r="H191" s="31"/>
      <c r="I191" s="40"/>
      <c r="J191" s="43"/>
      <c r="K191" s="39"/>
      <c r="L191" s="43"/>
      <c r="M191" s="43"/>
    </row>
    <row r="192" spans="6:13" ht="12.75" customHeight="1" x14ac:dyDescent="0.2">
      <c r="F192" s="31"/>
      <c r="G192" s="31"/>
      <c r="H192" s="31"/>
      <c r="I192" s="43"/>
      <c r="J192" s="43"/>
      <c r="K192" s="43"/>
      <c r="L192" s="43"/>
      <c r="M192" s="43"/>
    </row>
    <row r="193" spans="6:14" ht="12.75" customHeight="1" x14ac:dyDescent="0.2">
      <c r="F193" s="31"/>
      <c r="G193" s="31"/>
      <c r="H193" s="31"/>
      <c r="I193" s="43"/>
      <c r="J193" s="43"/>
      <c r="K193" s="43"/>
      <c r="L193" s="43"/>
      <c r="M193" s="43"/>
    </row>
    <row r="194" spans="6:14" ht="12.75" customHeight="1" x14ac:dyDescent="0.2">
      <c r="F194" s="31"/>
      <c r="G194" s="31"/>
      <c r="H194" s="31"/>
      <c r="I194" s="43"/>
      <c r="J194" s="43"/>
      <c r="K194" s="44"/>
      <c r="L194" s="43"/>
      <c r="M194" s="43"/>
      <c r="N194" s="14"/>
    </row>
    <row r="195" spans="6:14" ht="12.75" customHeight="1" x14ac:dyDescent="0.2">
      <c r="F195" s="31"/>
      <c r="G195" s="31"/>
      <c r="H195" s="31"/>
      <c r="I195" s="43"/>
      <c r="J195" s="43"/>
      <c r="K195" s="44"/>
      <c r="L195" s="43"/>
      <c r="M195" s="44"/>
    </row>
    <row r="196" spans="6:14" ht="12.75" customHeight="1" x14ac:dyDescent="0.2">
      <c r="F196" s="31"/>
      <c r="G196" s="31"/>
      <c r="H196" s="31"/>
      <c r="I196" s="43"/>
      <c r="J196" s="43"/>
      <c r="K196" s="44"/>
      <c r="L196" s="43"/>
      <c r="M196" s="44"/>
    </row>
    <row r="197" spans="6:14" ht="12.75" customHeight="1" x14ac:dyDescent="0.2">
      <c r="F197" s="31"/>
      <c r="G197" s="31"/>
      <c r="H197" s="31"/>
      <c r="I197" s="43"/>
      <c r="J197" s="43"/>
      <c r="K197" s="44"/>
      <c r="L197" s="43"/>
      <c r="M197" s="43"/>
    </row>
    <row r="198" spans="6:14" ht="12.75" customHeight="1" x14ac:dyDescent="0.2">
      <c r="F198" s="31"/>
      <c r="G198" s="31"/>
      <c r="H198" s="31"/>
      <c r="I198" s="43"/>
      <c r="J198" s="43"/>
      <c r="K198" s="44"/>
      <c r="L198" s="43"/>
      <c r="M198" s="44"/>
    </row>
    <row r="199" spans="6:14" ht="12.75" customHeight="1" x14ac:dyDescent="0.2">
      <c r="F199" s="31"/>
      <c r="G199" s="31"/>
      <c r="H199" s="31"/>
      <c r="I199" s="43"/>
      <c r="J199" s="43"/>
      <c r="K199" s="44"/>
      <c r="L199" s="43"/>
      <c r="M199" s="44"/>
    </row>
    <row r="200" spans="6:14" ht="12.75" customHeight="1" x14ac:dyDescent="0.2">
      <c r="F200" s="31"/>
      <c r="G200" s="31"/>
      <c r="H200" s="31"/>
      <c r="I200" s="43"/>
      <c r="J200" s="43"/>
      <c r="K200" s="44"/>
      <c r="L200" s="43"/>
      <c r="M200" s="44"/>
    </row>
    <row r="201" spans="6:14" ht="12.75" customHeight="1" x14ac:dyDescent="0.2">
      <c r="F201" s="31"/>
      <c r="G201" s="31"/>
      <c r="H201" s="31"/>
      <c r="I201" s="43"/>
      <c r="J201" s="43"/>
      <c r="K201" s="44"/>
      <c r="L201" s="43"/>
      <c r="M201" s="44"/>
    </row>
    <row r="202" spans="6:14" ht="12.75" customHeight="1" x14ac:dyDescent="0.2">
      <c r="F202" s="31"/>
      <c r="G202" s="31"/>
      <c r="H202" s="31"/>
      <c r="I202" s="43"/>
      <c r="J202" s="43"/>
      <c r="K202" s="44"/>
      <c r="L202" s="43"/>
      <c r="M202" s="43"/>
    </row>
    <row r="203" spans="6:14" ht="12.75" customHeight="1" x14ac:dyDescent="0.2">
      <c r="F203" s="31"/>
      <c r="G203" s="31"/>
      <c r="H203" s="31"/>
      <c r="I203" s="43"/>
      <c r="J203" s="43"/>
      <c r="K203" s="44"/>
      <c r="L203" s="43"/>
      <c r="M203" s="44"/>
    </row>
    <row r="204" spans="6:14" ht="12.75" customHeight="1" x14ac:dyDescent="0.2">
      <c r="F204" s="31"/>
      <c r="G204" s="31"/>
      <c r="H204" s="31"/>
      <c r="I204" s="43"/>
      <c r="J204" s="43"/>
      <c r="K204" s="44"/>
      <c r="L204" s="43"/>
      <c r="M204" s="43"/>
    </row>
    <row r="205" spans="6:14" ht="12.75" customHeight="1" x14ac:dyDescent="0.2">
      <c r="F205" s="31"/>
      <c r="G205" s="31"/>
      <c r="H205" s="31"/>
      <c r="I205" s="43"/>
      <c r="J205" s="43"/>
      <c r="K205" s="44"/>
      <c r="L205" s="43"/>
      <c r="M205" s="44"/>
    </row>
    <row r="206" spans="6:14" ht="12.75" customHeight="1" x14ac:dyDescent="0.2">
      <c r="F206" s="31"/>
      <c r="G206" s="31"/>
      <c r="H206" s="31"/>
      <c r="I206" s="43"/>
      <c r="J206" s="43"/>
      <c r="K206" s="44"/>
      <c r="L206" s="43"/>
      <c r="M206" s="43"/>
    </row>
    <row r="207" spans="6:14" ht="12.75" customHeight="1" x14ac:dyDescent="0.2">
      <c r="F207" s="31"/>
      <c r="G207" s="31"/>
      <c r="H207" s="31"/>
      <c r="I207" s="43"/>
      <c r="J207" s="43"/>
      <c r="K207" s="44"/>
      <c r="L207" s="43"/>
      <c r="M207" s="44"/>
    </row>
    <row r="208" spans="6:14" ht="12.75" customHeight="1" x14ac:dyDescent="0.2">
      <c r="F208" s="31"/>
      <c r="G208" s="31"/>
      <c r="H208" s="31"/>
      <c r="I208" s="43"/>
      <c r="J208" s="43"/>
      <c r="K208" s="44"/>
      <c r="L208" s="43"/>
      <c r="M208" s="43"/>
    </row>
    <row r="209" spans="6:13" ht="12.75" customHeight="1" x14ac:dyDescent="0.2">
      <c r="F209" s="31"/>
      <c r="G209" s="31"/>
      <c r="H209" s="31"/>
      <c r="I209" s="43"/>
      <c r="J209" s="43"/>
      <c r="K209" s="44"/>
      <c r="L209" s="43"/>
      <c r="M209" s="44"/>
    </row>
    <row r="210" spans="6:13" ht="12.75" customHeight="1" x14ac:dyDescent="0.2">
      <c r="F210" s="31"/>
      <c r="G210" s="31"/>
      <c r="H210" s="31"/>
      <c r="I210" s="43"/>
      <c r="J210" s="43"/>
      <c r="K210" s="44"/>
      <c r="L210" s="43"/>
      <c r="M210" s="43"/>
    </row>
    <row r="211" spans="6:13" ht="12.75" customHeight="1" x14ac:dyDescent="0.2">
      <c r="F211" s="31"/>
      <c r="G211" s="31"/>
      <c r="H211" s="31"/>
      <c r="I211" s="43"/>
      <c r="J211" s="43"/>
      <c r="K211" s="44"/>
      <c r="L211" s="43"/>
      <c r="M211" s="44"/>
    </row>
    <row r="212" spans="6:13" ht="12.75" customHeight="1" x14ac:dyDescent="0.2">
      <c r="F212" s="31"/>
      <c r="G212" s="31"/>
      <c r="H212" s="31"/>
      <c r="I212" s="43"/>
      <c r="J212" s="43"/>
      <c r="K212" s="44"/>
      <c r="L212" s="43"/>
      <c r="M212" s="43"/>
    </row>
    <row r="213" spans="6:13" ht="12.75" customHeight="1" x14ac:dyDescent="0.2">
      <c r="F213" s="31"/>
      <c r="G213" s="31"/>
      <c r="H213" s="31"/>
      <c r="I213" s="43"/>
      <c r="J213" s="43"/>
      <c r="K213" s="44"/>
      <c r="L213" s="43"/>
      <c r="M213" s="44"/>
    </row>
    <row r="214" spans="6:13" ht="12.75" customHeight="1" x14ac:dyDescent="0.2">
      <c r="F214" s="31"/>
      <c r="G214" s="31"/>
      <c r="H214" s="31"/>
      <c r="I214" s="43"/>
      <c r="J214" s="43"/>
      <c r="K214" s="44"/>
      <c r="L214" s="43"/>
      <c r="M214" s="43"/>
    </row>
    <row r="215" spans="6:13" ht="12.75" customHeight="1" x14ac:dyDescent="0.2">
      <c r="F215" s="31"/>
      <c r="G215" s="31"/>
      <c r="H215" s="31"/>
      <c r="I215" s="43"/>
      <c r="J215" s="43"/>
      <c r="K215" s="44"/>
      <c r="L215" s="43"/>
      <c r="M215" s="44"/>
    </row>
    <row r="216" spans="6:13" ht="12.75" customHeight="1" x14ac:dyDescent="0.2">
      <c r="F216" s="31"/>
      <c r="G216" s="31"/>
      <c r="H216" s="31"/>
      <c r="I216" s="43"/>
      <c r="J216" s="43"/>
      <c r="K216" s="44"/>
      <c r="L216" s="43"/>
      <c r="M216" s="43"/>
    </row>
    <row r="217" spans="6:13" ht="12.75" customHeight="1" x14ac:dyDescent="0.2">
      <c r="F217" s="31"/>
      <c r="G217" s="31"/>
      <c r="H217" s="31"/>
      <c r="I217" s="43"/>
      <c r="J217" s="43"/>
      <c r="K217" s="44"/>
      <c r="L217" s="43"/>
      <c r="M217" s="44"/>
    </row>
    <row r="218" spans="6:13" ht="12.75" customHeight="1" x14ac:dyDescent="0.2">
      <c r="F218" s="31"/>
      <c r="G218" s="31"/>
      <c r="H218" s="31"/>
      <c r="I218" s="43"/>
      <c r="J218" s="43"/>
      <c r="K218" s="44"/>
      <c r="L218" s="43"/>
      <c r="M218" s="43"/>
    </row>
    <row r="219" spans="6:13" ht="12.75" customHeight="1" x14ac:dyDescent="0.2">
      <c r="F219" s="31"/>
      <c r="G219" s="31"/>
      <c r="H219" s="31"/>
      <c r="I219" s="43"/>
      <c r="J219" s="43"/>
      <c r="K219" s="44"/>
      <c r="L219" s="43"/>
      <c r="M219" s="44"/>
    </row>
    <row r="220" spans="6:13" ht="12.75" customHeight="1" x14ac:dyDescent="0.2">
      <c r="F220" s="31"/>
      <c r="G220" s="31"/>
      <c r="H220" s="31"/>
      <c r="I220" s="43"/>
      <c r="J220" s="43"/>
      <c r="K220" s="44"/>
      <c r="L220" s="43"/>
      <c r="M220" s="43"/>
    </row>
    <row r="221" spans="6:13" ht="12.75" customHeight="1" x14ac:dyDescent="0.2">
      <c r="F221" s="31"/>
      <c r="G221" s="31"/>
      <c r="H221" s="31"/>
      <c r="I221" s="43"/>
      <c r="J221" s="43"/>
      <c r="K221" s="44"/>
      <c r="L221" s="43"/>
      <c r="M221" s="44"/>
    </row>
    <row r="222" spans="6:13" ht="12.75" customHeight="1" x14ac:dyDescent="0.2">
      <c r="F222" s="31"/>
      <c r="G222" s="31"/>
      <c r="H222" s="31"/>
      <c r="I222" s="43"/>
      <c r="J222" s="43"/>
      <c r="K222" s="44"/>
      <c r="L222" s="43"/>
      <c r="M222" s="43"/>
    </row>
    <row r="223" spans="6:13" ht="12.75" customHeight="1" x14ac:dyDescent="0.2">
      <c r="F223" s="31"/>
      <c r="G223" s="31"/>
      <c r="H223" s="31"/>
      <c r="I223" s="43"/>
      <c r="J223" s="43"/>
      <c r="K223" s="44"/>
      <c r="L223" s="43"/>
      <c r="M223" s="44"/>
    </row>
    <row r="224" spans="6:13" ht="12.75" customHeight="1" x14ac:dyDescent="0.2">
      <c r="F224" s="31"/>
      <c r="G224" s="31"/>
      <c r="H224" s="31"/>
      <c r="I224" s="43"/>
      <c r="J224" s="43"/>
      <c r="K224" s="44"/>
      <c r="L224" s="43"/>
      <c r="M224" s="43"/>
    </row>
    <row r="225" spans="6:13" ht="12.75" customHeight="1" x14ac:dyDescent="0.2">
      <c r="F225" s="31"/>
      <c r="G225" s="31"/>
      <c r="H225" s="31"/>
      <c r="I225" s="43"/>
      <c r="J225" s="43"/>
      <c r="K225" s="44"/>
      <c r="L225" s="43"/>
      <c r="M225" s="44"/>
    </row>
    <row r="226" spans="6:13" ht="12.75" customHeight="1" x14ac:dyDescent="0.2">
      <c r="F226" s="31"/>
      <c r="G226" s="31"/>
      <c r="H226" s="31"/>
      <c r="I226" s="43"/>
      <c r="J226" s="43"/>
      <c r="K226" s="44"/>
      <c r="L226" s="43"/>
      <c r="M226" s="44"/>
    </row>
    <row r="227" spans="6:13" ht="12" customHeight="1" x14ac:dyDescent="0.2">
      <c r="F227" s="31"/>
      <c r="G227" s="31"/>
      <c r="H227" s="31"/>
      <c r="I227" s="43"/>
      <c r="J227" s="43"/>
      <c r="K227" s="44"/>
      <c r="L227" s="43"/>
      <c r="M227" s="43"/>
    </row>
    <row r="228" spans="6:13" ht="12.75" customHeight="1" x14ac:dyDescent="0.2">
      <c r="F228" s="31"/>
      <c r="G228" s="31"/>
      <c r="H228" s="31"/>
      <c r="I228" s="43"/>
      <c r="J228" s="43"/>
      <c r="K228" s="44"/>
      <c r="L228" s="43"/>
      <c r="M228" s="44"/>
    </row>
    <row r="229" spans="6:13" ht="12" customHeight="1" x14ac:dyDescent="0.2">
      <c r="F229" s="31"/>
      <c r="G229" s="31"/>
      <c r="H229" s="31"/>
      <c r="I229" s="43"/>
      <c r="J229" s="43"/>
      <c r="K229" s="44"/>
      <c r="L229" s="43"/>
      <c r="M229" s="43"/>
    </row>
    <row r="230" spans="6:13" ht="12.75" customHeight="1" x14ac:dyDescent="0.2">
      <c r="F230" s="31"/>
      <c r="G230" s="31"/>
      <c r="H230" s="31"/>
      <c r="I230" s="43"/>
      <c r="J230" s="43"/>
      <c r="K230" s="44"/>
      <c r="L230" s="43"/>
      <c r="M230" s="44"/>
    </row>
    <row r="231" spans="6:13" ht="12" customHeight="1" x14ac:dyDescent="0.2">
      <c r="F231" s="31"/>
      <c r="G231" s="31"/>
      <c r="H231" s="31"/>
      <c r="I231" s="43"/>
      <c r="J231" s="43"/>
      <c r="K231" s="44"/>
      <c r="L231" s="43"/>
      <c r="M231" s="43"/>
    </row>
    <row r="232" spans="6:13" ht="12.75" customHeight="1" x14ac:dyDescent="0.2">
      <c r="F232" s="31"/>
      <c r="G232" s="31"/>
      <c r="H232" s="31"/>
      <c r="I232" s="43"/>
      <c r="J232" s="43"/>
      <c r="K232" s="44"/>
      <c r="L232" s="43"/>
      <c r="M232" s="44"/>
    </row>
    <row r="233" spans="6:13" ht="12" customHeight="1" x14ac:dyDescent="0.2">
      <c r="F233" s="31"/>
      <c r="G233" s="31"/>
      <c r="H233" s="31"/>
      <c r="I233" s="43"/>
      <c r="J233" s="43"/>
      <c r="K233" s="44"/>
      <c r="L233" s="43"/>
      <c r="M233" s="43"/>
    </row>
    <row r="234" spans="6:13" ht="12.75" customHeight="1" x14ac:dyDescent="0.2">
      <c r="F234" s="31"/>
      <c r="G234" s="31"/>
      <c r="H234" s="31"/>
      <c r="I234" s="43"/>
      <c r="J234" s="43"/>
      <c r="K234" s="44"/>
      <c r="L234" s="43"/>
      <c r="M234" s="44"/>
    </row>
    <row r="235" spans="6:13" ht="12" customHeight="1" x14ac:dyDescent="0.2">
      <c r="F235" s="31"/>
      <c r="G235" s="31"/>
      <c r="H235" s="31"/>
      <c r="I235" s="43"/>
      <c r="J235" s="43"/>
      <c r="K235" s="44"/>
      <c r="L235" s="43"/>
      <c r="M235" s="43"/>
    </row>
    <row r="236" spans="6:13" ht="12.75" customHeight="1" x14ac:dyDescent="0.2">
      <c r="F236" s="31"/>
      <c r="G236" s="31"/>
      <c r="H236" s="31"/>
      <c r="I236" s="43"/>
      <c r="J236" s="43"/>
      <c r="K236" s="43"/>
      <c r="L236" s="43"/>
      <c r="M236" s="43"/>
    </row>
    <row r="237" spans="6:13" ht="12.75" customHeight="1" x14ac:dyDescent="0.2">
      <c r="F237" s="31"/>
      <c r="G237" s="31"/>
      <c r="H237" s="31"/>
      <c r="I237" s="43"/>
      <c r="J237" s="43"/>
      <c r="K237" s="43"/>
      <c r="L237" s="43"/>
      <c r="M237" s="43"/>
    </row>
    <row r="238" spans="6:13" ht="12.75" customHeight="1" x14ac:dyDescent="0.2">
      <c r="F238" s="31"/>
      <c r="G238" s="31"/>
      <c r="H238" s="31"/>
      <c r="I238" s="43"/>
      <c r="J238" s="43"/>
      <c r="K238" s="43"/>
      <c r="L238" s="43"/>
      <c r="M238" s="43"/>
    </row>
    <row r="239" spans="6:13" ht="12.75" customHeight="1" x14ac:dyDescent="0.2">
      <c r="F239" s="31"/>
      <c r="G239" s="31"/>
      <c r="H239" s="31"/>
      <c r="I239" s="43"/>
      <c r="J239" s="43"/>
      <c r="K239" s="43"/>
      <c r="L239" s="43"/>
      <c r="M239" s="43"/>
    </row>
    <row r="240" spans="6:13" ht="12.75" customHeight="1" x14ac:dyDescent="0.2">
      <c r="F240" s="31"/>
      <c r="G240" s="31"/>
      <c r="H240" s="31"/>
      <c r="I240" s="43"/>
      <c r="J240" s="43"/>
      <c r="K240" s="43"/>
      <c r="L240" s="43"/>
      <c r="M240" s="43"/>
    </row>
    <row r="241" spans="6:13" ht="12.75" customHeight="1" x14ac:dyDescent="0.2">
      <c r="F241" s="31"/>
      <c r="G241" s="31"/>
      <c r="H241" s="31"/>
      <c r="I241" s="43"/>
      <c r="J241" s="43"/>
      <c r="K241" s="44"/>
      <c r="L241" s="43"/>
      <c r="M241" s="44"/>
    </row>
    <row r="242" spans="6:13" ht="12" customHeight="1" x14ac:dyDescent="0.2">
      <c r="F242" s="31"/>
      <c r="G242" s="31"/>
      <c r="H242" s="31"/>
      <c r="I242" s="43"/>
      <c r="J242" s="43"/>
      <c r="K242" s="44"/>
      <c r="L242" s="43"/>
      <c r="M242" s="43"/>
    </row>
    <row r="243" spans="6:13" ht="12.75" customHeight="1" x14ac:dyDescent="0.2">
      <c r="F243" s="31"/>
      <c r="G243" s="31"/>
      <c r="H243" s="31"/>
      <c r="I243" s="43"/>
      <c r="J243" s="43"/>
      <c r="K243" s="45"/>
      <c r="L243" s="45"/>
      <c r="M243" s="43"/>
    </row>
    <row r="244" spans="6:13" ht="12.75" customHeight="1" x14ac:dyDescent="0.2">
      <c r="F244" s="31"/>
      <c r="G244" s="31"/>
      <c r="H244" s="31"/>
      <c r="I244" s="43"/>
      <c r="J244" s="43"/>
      <c r="K244" s="44"/>
      <c r="L244" s="43"/>
      <c r="M244" s="44"/>
    </row>
    <row r="245" spans="6:13" ht="12.75" customHeight="1" x14ac:dyDescent="0.2">
      <c r="F245" s="31"/>
      <c r="G245" s="31"/>
      <c r="H245" s="31"/>
      <c r="I245" s="43"/>
      <c r="J245" s="43"/>
      <c r="K245" s="43"/>
      <c r="L245" s="43"/>
      <c r="M245" s="43"/>
    </row>
    <row r="246" spans="6:13" ht="12.75" customHeight="1" x14ac:dyDescent="0.2">
      <c r="F246" s="31"/>
      <c r="G246" s="31"/>
      <c r="H246" s="31"/>
      <c r="I246" s="43"/>
      <c r="J246" s="43"/>
      <c r="K246" s="43"/>
      <c r="L246" s="43"/>
      <c r="M246" s="43"/>
    </row>
    <row r="247" spans="6:13" ht="12.75" customHeight="1" x14ac:dyDescent="0.2">
      <c r="F247" s="31"/>
      <c r="G247" s="31"/>
      <c r="H247" s="31"/>
      <c r="I247" s="43"/>
      <c r="J247" s="43"/>
      <c r="K247" s="43"/>
      <c r="L247" s="43"/>
      <c r="M247" s="43"/>
    </row>
    <row r="248" spans="6:13" ht="12.75" customHeight="1" x14ac:dyDescent="0.2">
      <c r="F248" s="31"/>
      <c r="G248" s="31"/>
      <c r="H248" s="31"/>
      <c r="I248" s="43"/>
      <c r="J248" s="43"/>
      <c r="K248" s="43"/>
      <c r="L248" s="43"/>
      <c r="M248" s="43"/>
    </row>
    <row r="249" spans="6:13" ht="12.75" customHeight="1" x14ac:dyDescent="0.2">
      <c r="F249" s="31"/>
      <c r="G249" s="31"/>
      <c r="H249" s="31"/>
      <c r="I249" s="43"/>
      <c r="J249" s="43"/>
      <c r="K249" s="43"/>
      <c r="L249" s="43"/>
      <c r="M249" s="43"/>
    </row>
    <row r="250" spans="6:13" ht="12.75" customHeight="1" x14ac:dyDescent="0.2">
      <c r="F250" s="31"/>
      <c r="G250" s="31"/>
      <c r="H250" s="31"/>
      <c r="I250" s="43"/>
      <c r="J250" s="43"/>
      <c r="K250" s="43"/>
      <c r="L250" s="43"/>
      <c r="M250" s="43"/>
    </row>
    <row r="251" spans="6:13" ht="12.75" customHeight="1" x14ac:dyDescent="0.2">
      <c r="F251" s="31"/>
      <c r="G251" s="31"/>
      <c r="H251" s="31"/>
      <c r="I251" s="43"/>
      <c r="J251" s="43"/>
      <c r="K251" s="43"/>
      <c r="L251" s="43"/>
      <c r="M251" s="43"/>
    </row>
    <row r="252" spans="6:13" ht="12.75" customHeight="1" x14ac:dyDescent="0.2">
      <c r="F252" s="31"/>
      <c r="G252" s="31"/>
      <c r="H252" s="31"/>
      <c r="I252" s="43"/>
      <c r="J252" s="43"/>
      <c r="K252" s="43"/>
      <c r="L252" s="43"/>
      <c r="M252" s="43"/>
    </row>
    <row r="253" spans="6:13" ht="12.75" customHeight="1" x14ac:dyDescent="0.2">
      <c r="F253" s="31"/>
      <c r="G253" s="31"/>
      <c r="H253" s="31"/>
      <c r="I253" s="43"/>
      <c r="J253" s="43"/>
      <c r="K253" s="43"/>
      <c r="L253" s="43"/>
      <c r="M253" s="43"/>
    </row>
    <row r="254" spans="6:13" ht="12.75" customHeight="1" x14ac:dyDescent="0.2">
      <c r="F254" s="31"/>
      <c r="G254" s="31"/>
      <c r="H254" s="31"/>
      <c r="I254" s="43"/>
      <c r="J254" s="43"/>
      <c r="K254" s="43"/>
      <c r="L254" s="43"/>
      <c r="M254" s="43"/>
    </row>
    <row r="255" spans="6:13" ht="12.75" customHeight="1" x14ac:dyDescent="0.2">
      <c r="F255" s="31"/>
      <c r="G255" s="31"/>
      <c r="H255" s="31"/>
      <c r="I255" s="43"/>
      <c r="J255" s="43"/>
      <c r="K255" s="43"/>
      <c r="L255" s="43"/>
      <c r="M255" s="43"/>
    </row>
    <row r="256" spans="6:13" ht="12.75" customHeight="1" x14ac:dyDescent="0.2">
      <c r="F256" s="31"/>
      <c r="G256" s="31"/>
      <c r="H256" s="31"/>
      <c r="I256" s="43"/>
      <c r="J256" s="43"/>
      <c r="K256" s="43"/>
      <c r="L256" s="43"/>
      <c r="M256" s="43"/>
    </row>
    <row r="257" spans="6:13" ht="12.75" customHeight="1" x14ac:dyDescent="0.2">
      <c r="F257" s="31"/>
      <c r="G257" s="31"/>
      <c r="H257" s="31"/>
      <c r="I257" s="43"/>
      <c r="J257" s="43"/>
      <c r="K257" s="43"/>
      <c r="L257" s="43"/>
      <c r="M257" s="43"/>
    </row>
    <row r="258" spans="6:13" ht="12.75" customHeight="1" x14ac:dyDescent="0.2">
      <c r="F258" s="31"/>
      <c r="G258" s="31"/>
      <c r="H258" s="31"/>
      <c r="I258" s="43"/>
      <c r="J258" s="43"/>
      <c r="K258" s="43"/>
      <c r="L258" s="43"/>
      <c r="M258" s="43"/>
    </row>
    <row r="259" spans="6:13" ht="12.75" customHeight="1" x14ac:dyDescent="0.2">
      <c r="F259" s="31"/>
      <c r="G259" s="31"/>
      <c r="H259" s="31"/>
      <c r="I259" s="43"/>
      <c r="J259" s="43"/>
      <c r="K259" s="43"/>
      <c r="L259" s="43"/>
      <c r="M259" s="43"/>
    </row>
    <row r="260" spans="6:13" ht="12.75" customHeight="1" x14ac:dyDescent="0.2">
      <c r="F260" s="31"/>
      <c r="G260" s="31"/>
      <c r="H260" s="31"/>
      <c r="I260" s="43"/>
      <c r="J260" s="43"/>
      <c r="K260" s="43"/>
      <c r="L260" s="43"/>
      <c r="M260" s="43"/>
    </row>
    <row r="261" spans="6:13" ht="12.75" customHeight="1" x14ac:dyDescent="0.2">
      <c r="F261" s="31"/>
      <c r="G261" s="31"/>
      <c r="H261" s="31"/>
      <c r="I261" s="43"/>
      <c r="J261" s="43"/>
      <c r="K261" s="43"/>
      <c r="L261" s="43"/>
      <c r="M261" s="43"/>
    </row>
    <row r="262" spans="6:13" ht="12.75" customHeight="1" x14ac:dyDescent="0.2">
      <c r="F262" s="31"/>
      <c r="G262" s="31"/>
      <c r="H262" s="31"/>
      <c r="I262" s="43"/>
      <c r="J262" s="43"/>
      <c r="K262" s="43"/>
      <c r="L262" s="43"/>
      <c r="M262" s="43"/>
    </row>
    <row r="263" spans="6:13" ht="12.75" customHeight="1" x14ac:dyDescent="0.2">
      <c r="F263" s="31"/>
      <c r="G263" s="31"/>
      <c r="H263" s="31"/>
      <c r="I263" s="43"/>
      <c r="J263" s="43"/>
      <c r="K263" s="43"/>
      <c r="L263" s="43"/>
      <c r="M263" s="43"/>
    </row>
    <row r="264" spans="6:13" ht="12.75" customHeight="1" x14ac:dyDescent="0.2">
      <c r="F264" s="31"/>
      <c r="G264" s="31"/>
      <c r="H264" s="31"/>
      <c r="I264" s="43"/>
      <c r="J264" s="43"/>
      <c r="K264" s="43"/>
      <c r="L264" s="43"/>
      <c r="M264" s="43"/>
    </row>
    <row r="265" spans="6:13" ht="12.75" customHeight="1" x14ac:dyDescent="0.2">
      <c r="F265" s="31"/>
      <c r="G265" s="31"/>
      <c r="H265" s="31"/>
      <c r="I265" s="43"/>
      <c r="J265" s="43"/>
      <c r="K265" s="43"/>
      <c r="L265" s="43"/>
      <c r="M265" s="43"/>
    </row>
    <row r="266" spans="6:13" ht="12.75" customHeight="1" x14ac:dyDescent="0.2">
      <c r="F266" s="31"/>
      <c r="G266" s="31"/>
      <c r="H266" s="31"/>
      <c r="I266" s="43"/>
      <c r="J266" s="43"/>
      <c r="K266" s="43"/>
      <c r="L266" s="43"/>
      <c r="M266" s="43"/>
    </row>
    <row r="267" spans="6:13" ht="12.75" customHeight="1" x14ac:dyDescent="0.2">
      <c r="F267" s="31"/>
      <c r="G267" s="31"/>
      <c r="H267" s="31"/>
      <c r="I267" s="43"/>
      <c r="J267" s="43"/>
      <c r="K267" s="43"/>
      <c r="L267" s="43"/>
      <c r="M267" s="43"/>
    </row>
    <row r="268" spans="6:13" ht="12.75" customHeight="1" x14ac:dyDescent="0.2">
      <c r="F268" s="31"/>
      <c r="G268" s="31"/>
      <c r="H268" s="31"/>
      <c r="I268" s="43"/>
      <c r="J268" s="43"/>
      <c r="K268" s="43"/>
      <c r="L268" s="43"/>
      <c r="M268" s="43"/>
    </row>
    <row r="269" spans="6:13" ht="12.75" customHeight="1" x14ac:dyDescent="0.2">
      <c r="F269" s="31"/>
      <c r="G269" s="31"/>
      <c r="H269" s="31"/>
      <c r="I269" s="43"/>
      <c r="J269" s="43"/>
      <c r="K269" s="43"/>
      <c r="L269" s="43"/>
      <c r="M269" s="43"/>
    </row>
    <row r="270" spans="6:13" ht="12.75" customHeight="1" x14ac:dyDescent="0.2">
      <c r="F270" s="31"/>
      <c r="G270" s="31"/>
      <c r="H270" s="31"/>
      <c r="I270" s="43"/>
      <c r="J270" s="43"/>
      <c r="K270" s="43"/>
      <c r="L270" s="43"/>
      <c r="M270" s="43"/>
    </row>
    <row r="271" spans="6:13" ht="12.75" customHeight="1" x14ac:dyDescent="0.2">
      <c r="F271" s="31"/>
      <c r="G271" s="31"/>
      <c r="H271" s="31"/>
      <c r="I271" s="43"/>
      <c r="J271" s="43"/>
      <c r="K271" s="43"/>
      <c r="L271" s="43"/>
      <c r="M271" s="43"/>
    </row>
    <row r="272" spans="6:13" ht="12.75" customHeight="1" x14ac:dyDescent="0.2">
      <c r="F272" s="31"/>
      <c r="G272" s="31"/>
      <c r="H272" s="31"/>
      <c r="I272" s="43"/>
      <c r="J272" s="43"/>
      <c r="K272" s="43"/>
      <c r="L272" s="43"/>
      <c r="M272" s="43"/>
    </row>
    <row r="273" spans="6:13" ht="12.75" customHeight="1" x14ac:dyDescent="0.2">
      <c r="F273" s="31"/>
      <c r="G273" s="31"/>
      <c r="H273" s="31"/>
      <c r="I273" s="43"/>
      <c r="J273" s="43"/>
      <c r="K273" s="43"/>
      <c r="L273" s="43"/>
      <c r="M273" s="43"/>
    </row>
    <row r="274" spans="6:13" ht="12.75" customHeight="1" x14ac:dyDescent="0.2">
      <c r="F274" s="31"/>
      <c r="G274" s="31"/>
      <c r="H274" s="31"/>
      <c r="I274" s="43"/>
      <c r="J274" s="43"/>
      <c r="K274" s="43"/>
      <c r="L274" s="43"/>
      <c r="M274" s="43"/>
    </row>
    <row r="275" spans="6:13" ht="12.75" customHeight="1" x14ac:dyDescent="0.2">
      <c r="F275" s="31"/>
      <c r="G275" s="31"/>
      <c r="H275" s="31"/>
      <c r="I275" s="43"/>
      <c r="J275" s="43"/>
      <c r="K275" s="43"/>
      <c r="L275" s="43"/>
      <c r="M275" s="43"/>
    </row>
    <row r="276" spans="6:13" ht="12.75" customHeight="1" x14ac:dyDescent="0.2">
      <c r="F276" s="31"/>
      <c r="G276" s="31"/>
      <c r="H276" s="31"/>
      <c r="I276" s="43"/>
      <c r="J276" s="43"/>
      <c r="K276" s="43"/>
      <c r="L276" s="43"/>
      <c r="M276" s="43"/>
    </row>
    <row r="277" spans="6:13" ht="12.75" customHeight="1" x14ac:dyDescent="0.2">
      <c r="F277" s="31"/>
      <c r="G277" s="31"/>
      <c r="H277" s="31"/>
      <c r="I277" s="43"/>
      <c r="J277" s="43"/>
      <c r="K277" s="43"/>
      <c r="L277" s="43"/>
      <c r="M277" s="43"/>
    </row>
    <row r="278" spans="6:13" ht="12.75" customHeight="1" x14ac:dyDescent="0.2">
      <c r="F278" s="31"/>
      <c r="G278" s="31"/>
      <c r="H278" s="31"/>
      <c r="I278" s="43"/>
      <c r="J278" s="43"/>
      <c r="K278" s="43"/>
      <c r="L278" s="43"/>
      <c r="M278" s="43"/>
    </row>
    <row r="279" spans="6:13" ht="12.75" customHeight="1" x14ac:dyDescent="0.2">
      <c r="F279" s="31"/>
      <c r="G279" s="31"/>
      <c r="H279" s="31"/>
      <c r="I279" s="43"/>
      <c r="J279" s="43"/>
      <c r="K279" s="43"/>
      <c r="L279" s="43"/>
      <c r="M279" s="43"/>
    </row>
    <row r="280" spans="6:13" ht="12.75" customHeight="1" x14ac:dyDescent="0.2">
      <c r="F280" s="31"/>
      <c r="G280" s="31"/>
      <c r="H280" s="31"/>
      <c r="I280" s="43"/>
      <c r="J280" s="43"/>
      <c r="K280" s="43"/>
      <c r="L280" s="43"/>
      <c r="M280" s="43"/>
    </row>
    <row r="281" spans="6:13" ht="12.75" customHeight="1" x14ac:dyDescent="0.2">
      <c r="F281" s="31"/>
      <c r="G281" s="31"/>
      <c r="H281" s="31"/>
      <c r="I281" s="43"/>
      <c r="J281" s="43"/>
      <c r="K281" s="43"/>
      <c r="L281" s="43"/>
      <c r="M281" s="43"/>
    </row>
    <row r="282" spans="6:13" ht="12.75" customHeight="1" x14ac:dyDescent="0.2">
      <c r="F282" s="31"/>
      <c r="G282" s="31"/>
      <c r="H282" s="31"/>
      <c r="I282" s="43"/>
      <c r="J282" s="43"/>
      <c r="K282" s="43"/>
      <c r="L282" s="43"/>
      <c r="M282" s="43"/>
    </row>
    <row r="283" spans="6:13" ht="12.75" customHeight="1" x14ac:dyDescent="0.2">
      <c r="F283" s="31"/>
      <c r="G283" s="31"/>
      <c r="H283" s="31"/>
      <c r="I283" s="43"/>
      <c r="J283" s="43"/>
      <c r="K283" s="43"/>
      <c r="L283" s="43"/>
      <c r="M283" s="43"/>
    </row>
    <row r="284" spans="6:13" ht="12.75" customHeight="1" x14ac:dyDescent="0.2">
      <c r="F284" s="31"/>
      <c r="G284" s="31"/>
      <c r="H284" s="31"/>
      <c r="I284" s="43"/>
      <c r="J284" s="43"/>
      <c r="K284" s="43"/>
      <c r="L284" s="43"/>
      <c r="M284" s="43"/>
    </row>
    <row r="285" spans="6:13" ht="12.75" customHeight="1" x14ac:dyDescent="0.2">
      <c r="F285" s="31"/>
      <c r="G285" s="31"/>
      <c r="H285" s="31"/>
      <c r="I285" s="43"/>
      <c r="J285" s="43"/>
      <c r="K285" s="43"/>
      <c r="L285" s="43"/>
      <c r="M285" s="43"/>
    </row>
    <row r="286" spans="6:13" ht="12.75" customHeight="1" x14ac:dyDescent="0.2">
      <c r="F286" s="31"/>
      <c r="G286" s="31"/>
      <c r="H286" s="31"/>
      <c r="I286" s="43"/>
      <c r="J286" s="43"/>
      <c r="K286" s="43"/>
      <c r="L286" s="43"/>
      <c r="M286" s="43"/>
    </row>
    <row r="287" spans="6:13" ht="12.75" customHeight="1" x14ac:dyDescent="0.2">
      <c r="F287" s="31"/>
      <c r="G287" s="31"/>
      <c r="H287" s="31"/>
      <c r="I287" s="43"/>
      <c r="J287" s="43"/>
      <c r="K287" s="43"/>
      <c r="L287" s="43"/>
      <c r="M287" s="43"/>
    </row>
    <row r="288" spans="6:13" ht="12.75" customHeight="1" x14ac:dyDescent="0.2">
      <c r="F288" s="31"/>
      <c r="G288" s="31"/>
      <c r="H288" s="31"/>
      <c r="I288" s="43"/>
      <c r="J288" s="43"/>
      <c r="K288" s="43"/>
      <c r="L288" s="43"/>
      <c r="M288" s="43"/>
    </row>
    <row r="289" spans="6:13" ht="12.75" customHeight="1" x14ac:dyDescent="0.2">
      <c r="F289" s="31"/>
      <c r="G289" s="31"/>
      <c r="H289" s="31"/>
      <c r="I289" s="43"/>
      <c r="J289" s="43"/>
      <c r="K289" s="43"/>
      <c r="L289" s="43"/>
      <c r="M289" s="43"/>
    </row>
    <row r="290" spans="6:13" ht="12.75" customHeight="1" x14ac:dyDescent="0.2">
      <c r="F290" s="31"/>
      <c r="G290" s="31"/>
      <c r="H290" s="31"/>
      <c r="I290" s="43"/>
      <c r="J290" s="43"/>
      <c r="K290" s="43"/>
      <c r="L290" s="43"/>
      <c r="M290" s="43"/>
    </row>
    <row r="291" spans="6:13" ht="12.75" customHeight="1" x14ac:dyDescent="0.2">
      <c r="F291" s="31"/>
      <c r="G291" s="31"/>
      <c r="H291" s="31"/>
      <c r="I291" s="43"/>
      <c r="J291" s="43"/>
      <c r="K291" s="43"/>
      <c r="L291" s="43"/>
      <c r="M291" s="43"/>
    </row>
    <row r="292" spans="6:13" ht="12.75" customHeight="1" x14ac:dyDescent="0.2">
      <c r="F292" s="31"/>
      <c r="G292" s="31"/>
      <c r="H292" s="31"/>
      <c r="I292" s="43"/>
      <c r="J292" s="43"/>
      <c r="K292" s="43"/>
      <c r="L292" s="43"/>
      <c r="M292" s="43"/>
    </row>
    <row r="293" spans="6:13" ht="12.75" customHeight="1" x14ac:dyDescent="0.2">
      <c r="F293" s="31"/>
      <c r="G293" s="31"/>
      <c r="H293" s="31"/>
      <c r="I293" s="43"/>
      <c r="J293" s="43"/>
      <c r="K293" s="43"/>
      <c r="L293" s="43"/>
      <c r="M293" s="43"/>
    </row>
    <row r="294" spans="6:13" ht="12.75" customHeight="1" x14ac:dyDescent="0.2">
      <c r="F294" s="31"/>
      <c r="G294" s="31"/>
      <c r="H294" s="31"/>
      <c r="I294" s="43"/>
      <c r="J294" s="43"/>
      <c r="K294" s="43"/>
      <c r="L294" s="43"/>
      <c r="M294" s="43"/>
    </row>
    <row r="295" spans="6:13" ht="12.75" customHeight="1" x14ac:dyDescent="0.2">
      <c r="F295" s="31"/>
      <c r="G295" s="31"/>
      <c r="H295" s="31"/>
      <c r="I295" s="43"/>
      <c r="J295" s="43"/>
      <c r="K295" s="43"/>
      <c r="L295" s="43"/>
      <c r="M295" s="43"/>
    </row>
    <row r="296" spans="6:13" ht="12.75" customHeight="1" x14ac:dyDescent="0.2">
      <c r="F296" s="31"/>
      <c r="G296" s="31"/>
      <c r="H296" s="31"/>
      <c r="I296" s="43"/>
      <c r="J296" s="43"/>
      <c r="K296" s="43"/>
      <c r="L296" s="43"/>
      <c r="M296" s="43"/>
    </row>
    <row r="297" spans="6:13" ht="12.75" customHeight="1" x14ac:dyDescent="0.2">
      <c r="F297" s="31"/>
      <c r="G297" s="31"/>
      <c r="H297" s="31"/>
      <c r="I297" s="43"/>
      <c r="J297" s="43"/>
      <c r="K297" s="43"/>
      <c r="L297" s="43"/>
      <c r="M297" s="43"/>
    </row>
    <row r="298" spans="6:13" ht="12.75" customHeight="1" x14ac:dyDescent="0.2">
      <c r="F298" s="31"/>
      <c r="G298" s="31"/>
      <c r="H298" s="31"/>
      <c r="I298" s="43"/>
      <c r="J298" s="43"/>
      <c r="K298" s="43"/>
      <c r="L298" s="43"/>
      <c r="M298" s="43"/>
    </row>
    <row r="299" spans="6:13" ht="12.75" customHeight="1" x14ac:dyDescent="0.2">
      <c r="F299" s="31"/>
      <c r="G299" s="31"/>
      <c r="H299" s="31"/>
      <c r="I299" s="43"/>
      <c r="J299" s="43"/>
      <c r="K299" s="43"/>
      <c r="L299" s="43"/>
      <c r="M299" s="43"/>
    </row>
    <row r="300" spans="6:13" ht="12.75" customHeight="1" x14ac:dyDescent="0.2">
      <c r="F300" s="31"/>
      <c r="G300" s="31"/>
      <c r="H300" s="31"/>
      <c r="I300" s="43"/>
      <c r="J300" s="43"/>
      <c r="K300" s="43"/>
      <c r="L300" s="43"/>
      <c r="M300" s="43"/>
    </row>
    <row r="301" spans="6:13" ht="12.75" customHeight="1" x14ac:dyDescent="0.2">
      <c r="F301" s="31"/>
      <c r="G301" s="31"/>
      <c r="H301" s="31"/>
      <c r="I301" s="43"/>
      <c r="J301" s="43"/>
      <c r="K301" s="43"/>
      <c r="L301" s="43"/>
      <c r="M301" s="43"/>
    </row>
    <row r="302" spans="6:13" ht="12.75" customHeight="1" x14ac:dyDescent="0.2">
      <c r="F302" s="31"/>
      <c r="G302" s="31"/>
      <c r="H302" s="31"/>
      <c r="I302" s="43"/>
      <c r="J302" s="43"/>
      <c r="K302" s="43"/>
      <c r="L302" s="43"/>
      <c r="M302" s="43"/>
    </row>
    <row r="303" spans="6:13" ht="12.75" customHeight="1" x14ac:dyDescent="0.2">
      <c r="F303" s="31"/>
      <c r="G303" s="31"/>
      <c r="H303" s="31"/>
      <c r="I303" s="43"/>
      <c r="J303" s="43"/>
      <c r="K303" s="43"/>
      <c r="L303" s="43"/>
      <c r="M303" s="43"/>
    </row>
    <row r="304" spans="6:13" ht="12.75" customHeight="1" x14ac:dyDescent="0.2">
      <c r="F304" s="31"/>
      <c r="G304" s="31"/>
      <c r="H304" s="31"/>
      <c r="I304" s="43"/>
      <c r="J304" s="43"/>
      <c r="K304" s="43"/>
      <c r="L304" s="43"/>
      <c r="M304" s="43"/>
    </row>
    <row r="305" spans="6:13" ht="12.75" customHeight="1" x14ac:dyDescent="0.2">
      <c r="F305" s="31"/>
      <c r="G305" s="31"/>
      <c r="H305" s="31"/>
      <c r="I305" s="43"/>
      <c r="J305" s="43"/>
      <c r="K305" s="43"/>
      <c r="L305" s="43"/>
      <c r="M305" s="43"/>
    </row>
    <row r="306" spans="6:13" ht="12.75" customHeight="1" x14ac:dyDescent="0.2">
      <c r="F306" s="31"/>
      <c r="G306" s="31"/>
      <c r="H306" s="31"/>
      <c r="I306" s="43"/>
      <c r="J306" s="43"/>
      <c r="K306" s="43"/>
      <c r="L306" s="43"/>
      <c r="M306" s="43"/>
    </row>
    <row r="307" spans="6:13" ht="12.75" customHeight="1" x14ac:dyDescent="0.2">
      <c r="F307" s="31"/>
      <c r="G307" s="31"/>
      <c r="H307" s="31"/>
      <c r="I307" s="43"/>
      <c r="J307" s="43"/>
      <c r="K307" s="43"/>
      <c r="L307" s="43"/>
      <c r="M307" s="43"/>
    </row>
    <row r="308" spans="6:13" ht="12.75" customHeight="1" x14ac:dyDescent="0.2">
      <c r="F308" s="31"/>
      <c r="G308" s="31"/>
      <c r="H308" s="31"/>
      <c r="I308" s="43"/>
      <c r="J308" s="43"/>
      <c r="K308" s="43"/>
      <c r="L308" s="43"/>
      <c r="M308" s="43"/>
    </row>
    <row r="309" spans="6:13" ht="12.75" customHeight="1" x14ac:dyDescent="0.2">
      <c r="F309" s="31"/>
      <c r="G309" s="31"/>
      <c r="H309" s="31"/>
      <c r="I309" s="43"/>
      <c r="J309" s="43"/>
      <c r="K309" s="43"/>
      <c r="L309" s="43"/>
      <c r="M309" s="43"/>
    </row>
    <row r="310" spans="6:13" ht="12.75" customHeight="1" x14ac:dyDescent="0.2">
      <c r="F310" s="31"/>
      <c r="G310" s="31"/>
      <c r="H310" s="31"/>
      <c r="I310" s="43"/>
      <c r="J310" s="43"/>
      <c r="K310" s="43"/>
      <c r="L310" s="43"/>
      <c r="M310" s="43"/>
    </row>
    <row r="311" spans="6:13" ht="12.75" customHeight="1" x14ac:dyDescent="0.2">
      <c r="F311" s="31"/>
      <c r="G311" s="31"/>
      <c r="H311" s="31"/>
      <c r="I311" s="43"/>
      <c r="J311" s="43"/>
      <c r="K311" s="43"/>
      <c r="L311" s="43"/>
      <c r="M311" s="43"/>
    </row>
    <row r="312" spans="6:13" ht="12.75" customHeight="1" x14ac:dyDescent="0.2">
      <c r="F312" s="31"/>
      <c r="G312" s="31"/>
      <c r="H312" s="31"/>
      <c r="I312" s="43"/>
      <c r="J312" s="43"/>
      <c r="K312" s="43"/>
      <c r="L312" s="43"/>
      <c r="M312" s="43"/>
    </row>
    <row r="313" spans="6:13" ht="12.75" customHeight="1" x14ac:dyDescent="0.2">
      <c r="F313" s="31"/>
      <c r="G313" s="31"/>
      <c r="H313" s="31"/>
      <c r="I313" s="43"/>
      <c r="J313" s="43"/>
      <c r="K313" s="43"/>
      <c r="L313" s="43"/>
      <c r="M313" s="43"/>
    </row>
    <row r="314" spans="6:13" ht="12.75" customHeight="1" x14ac:dyDescent="0.2">
      <c r="F314" s="31"/>
      <c r="G314" s="31"/>
      <c r="H314" s="31"/>
      <c r="I314" s="43"/>
      <c r="J314" s="43"/>
      <c r="K314" s="43"/>
      <c r="L314" s="43"/>
      <c r="M314" s="43"/>
    </row>
    <row r="315" spans="6:13" ht="12.75" customHeight="1" x14ac:dyDescent="0.2">
      <c r="F315" s="31"/>
      <c r="G315" s="31"/>
      <c r="H315" s="31"/>
      <c r="I315" s="43"/>
      <c r="J315" s="43"/>
      <c r="K315" s="43"/>
      <c r="L315" s="43"/>
      <c r="M315" s="43"/>
    </row>
    <row r="316" spans="6:13" ht="12.75" customHeight="1" x14ac:dyDescent="0.2">
      <c r="F316" s="31"/>
      <c r="G316" s="31"/>
      <c r="H316" s="31"/>
      <c r="I316" s="43"/>
      <c r="J316" s="43"/>
      <c r="K316" s="43"/>
      <c r="L316" s="43"/>
      <c r="M316" s="43"/>
    </row>
    <row r="317" spans="6:13" ht="12.75" customHeight="1" x14ac:dyDescent="0.2">
      <c r="F317" s="31"/>
      <c r="G317" s="31"/>
      <c r="H317" s="31"/>
      <c r="I317" s="43"/>
      <c r="J317" s="43"/>
      <c r="K317" s="43"/>
      <c r="L317" s="43"/>
      <c r="M317" s="43"/>
    </row>
    <row r="318" spans="6:13" ht="12.75" customHeight="1" x14ac:dyDescent="0.2">
      <c r="F318" s="31"/>
      <c r="G318" s="31"/>
      <c r="H318" s="31"/>
      <c r="I318" s="43"/>
      <c r="J318" s="43"/>
      <c r="K318" s="43"/>
      <c r="L318" s="43"/>
      <c r="M318" s="43"/>
    </row>
    <row r="319" spans="6:13" ht="12.75" customHeight="1" x14ac:dyDescent="0.2">
      <c r="F319" s="31"/>
      <c r="G319" s="31"/>
      <c r="H319" s="31"/>
      <c r="I319" s="43"/>
      <c r="J319" s="43"/>
      <c r="K319" s="43"/>
      <c r="L319" s="43"/>
      <c r="M319" s="43"/>
    </row>
    <row r="320" spans="6:13" ht="12.75" customHeight="1" x14ac:dyDescent="0.2">
      <c r="F320" s="31"/>
      <c r="G320" s="31"/>
      <c r="H320" s="31"/>
      <c r="I320" s="43"/>
      <c r="J320" s="43"/>
      <c r="K320" s="43"/>
      <c r="L320" s="43"/>
      <c r="M320" s="43"/>
    </row>
    <row r="321" spans="6:13" ht="12.75" customHeight="1" x14ac:dyDescent="0.2">
      <c r="F321" s="31"/>
      <c r="G321" s="31"/>
      <c r="H321" s="31"/>
      <c r="I321" s="43"/>
      <c r="J321" s="43"/>
      <c r="K321" s="43"/>
      <c r="L321" s="43"/>
      <c r="M321" s="43"/>
    </row>
    <row r="322" spans="6:13" ht="12.75" customHeight="1" x14ac:dyDescent="0.2">
      <c r="F322" s="31"/>
      <c r="G322" s="31"/>
      <c r="H322" s="31"/>
      <c r="I322" s="43"/>
      <c r="J322" s="43"/>
      <c r="K322" s="43"/>
      <c r="L322" s="43"/>
      <c r="M322" s="43"/>
    </row>
    <row r="323" spans="6:13" ht="12.75" customHeight="1" x14ac:dyDescent="0.2">
      <c r="F323" s="31"/>
      <c r="G323" s="31"/>
      <c r="H323" s="31"/>
      <c r="I323" s="43"/>
      <c r="J323" s="43"/>
      <c r="K323" s="43"/>
      <c r="L323" s="43"/>
      <c r="M323" s="43"/>
    </row>
    <row r="324" spans="6:13" ht="12.75" customHeight="1" x14ac:dyDescent="0.2">
      <c r="F324" s="31"/>
      <c r="G324" s="31"/>
      <c r="H324" s="31"/>
      <c r="I324" s="43"/>
      <c r="J324" s="43"/>
      <c r="K324" s="43"/>
      <c r="L324" s="43"/>
      <c r="M324" s="43"/>
    </row>
    <row r="325" spans="6:13" ht="12.75" customHeight="1" x14ac:dyDescent="0.2">
      <c r="F325" s="31"/>
      <c r="G325" s="31"/>
      <c r="H325" s="31"/>
      <c r="I325" s="43"/>
      <c r="J325" s="43"/>
      <c r="K325" s="43"/>
      <c r="L325" s="43"/>
      <c r="M325" s="43"/>
    </row>
    <row r="326" spans="6:13" ht="12.75" customHeight="1" x14ac:dyDescent="0.2">
      <c r="F326" s="31"/>
      <c r="G326" s="31"/>
      <c r="H326" s="31"/>
      <c r="I326" s="43"/>
      <c r="J326" s="43"/>
      <c r="K326" s="43"/>
      <c r="L326" s="43"/>
      <c r="M326" s="43"/>
    </row>
    <row r="327" spans="6:13" ht="12.75" customHeight="1" x14ac:dyDescent="0.2">
      <c r="F327" s="31"/>
      <c r="G327" s="31"/>
      <c r="H327" s="31"/>
      <c r="I327" s="43"/>
      <c r="J327" s="43"/>
      <c r="K327" s="43"/>
      <c r="L327" s="43"/>
      <c r="M327" s="43"/>
    </row>
    <row r="328" spans="6:13" ht="12.75" customHeight="1" x14ac:dyDescent="0.2">
      <c r="F328" s="31"/>
      <c r="G328" s="31"/>
      <c r="H328" s="31"/>
      <c r="I328" s="43"/>
      <c r="J328" s="43"/>
      <c r="K328" s="43"/>
      <c r="L328" s="43"/>
      <c r="M328" s="43"/>
    </row>
    <row r="329" spans="6:13" ht="12.75" customHeight="1" x14ac:dyDescent="0.2">
      <c r="F329" s="31"/>
      <c r="G329" s="31"/>
      <c r="H329" s="31"/>
      <c r="I329" s="43"/>
      <c r="J329" s="43"/>
      <c r="K329" s="43"/>
      <c r="L329" s="43"/>
      <c r="M329" s="43"/>
    </row>
    <row r="330" spans="6:13" ht="12.75" customHeight="1" x14ac:dyDescent="0.2">
      <c r="F330" s="31"/>
      <c r="G330" s="31"/>
      <c r="H330" s="31"/>
      <c r="I330" s="43"/>
      <c r="J330" s="43"/>
      <c r="K330" s="43"/>
      <c r="L330" s="43"/>
      <c r="M330" s="43"/>
    </row>
    <row r="331" spans="6:13" ht="12.75" customHeight="1" x14ac:dyDescent="0.2">
      <c r="F331" s="31"/>
      <c r="G331" s="31"/>
      <c r="H331" s="31"/>
      <c r="I331" s="43"/>
      <c r="J331" s="43"/>
      <c r="K331" s="43"/>
      <c r="L331" s="43"/>
      <c r="M331" s="43"/>
    </row>
    <row r="332" spans="6:13" ht="12.75" customHeight="1" x14ac:dyDescent="0.2">
      <c r="F332" s="31"/>
      <c r="G332" s="31"/>
      <c r="H332" s="31"/>
      <c r="I332" s="43"/>
      <c r="J332" s="43"/>
      <c r="K332" s="43"/>
      <c r="L332" s="43"/>
      <c r="M332" s="43"/>
    </row>
    <row r="333" spans="6:13" ht="12.75" customHeight="1" x14ac:dyDescent="0.2">
      <c r="F333" s="31"/>
      <c r="G333" s="31"/>
      <c r="H333" s="31"/>
      <c r="I333" s="43"/>
      <c r="J333" s="43"/>
      <c r="K333" s="43"/>
      <c r="L333" s="43"/>
      <c r="M333" s="43"/>
    </row>
    <row r="334" spans="6:13" ht="12.75" customHeight="1" x14ac:dyDescent="0.2">
      <c r="F334" s="31"/>
      <c r="G334" s="31"/>
      <c r="H334" s="31"/>
    </row>
    <row r="335" spans="6:13" ht="12.75" customHeight="1" x14ac:dyDescent="0.2">
      <c r="F335" s="31"/>
      <c r="G335" s="31"/>
      <c r="H335" s="31"/>
    </row>
    <row r="336" spans="6:13" ht="12.75" customHeight="1" x14ac:dyDescent="0.2">
      <c r="F336" s="31"/>
      <c r="G336" s="31"/>
      <c r="H336" s="31"/>
    </row>
    <row r="337" spans="6:8" ht="12.75" customHeight="1" x14ac:dyDescent="0.2">
      <c r="F337" s="31"/>
      <c r="G337" s="31"/>
      <c r="H337" s="31"/>
    </row>
    <row r="338" spans="6:8" ht="12.75" customHeight="1" x14ac:dyDescent="0.2">
      <c r="F338" s="31"/>
      <c r="G338" s="31"/>
      <c r="H338" s="31"/>
    </row>
    <row r="339" spans="6:8" ht="12.75" customHeight="1" x14ac:dyDescent="0.2">
      <c r="F339" s="31"/>
      <c r="G339" s="31"/>
      <c r="H339" s="31"/>
    </row>
    <row r="340" spans="6:8" ht="12.75" customHeight="1" x14ac:dyDescent="0.2">
      <c r="F340" s="31"/>
      <c r="G340" s="31"/>
      <c r="H340" s="31"/>
    </row>
    <row r="341" spans="6:8" ht="12.75" customHeight="1" x14ac:dyDescent="0.2">
      <c r="F341" s="31"/>
      <c r="G341" s="31"/>
      <c r="H341" s="31"/>
    </row>
    <row r="342" spans="6:8" ht="12.75" customHeight="1" x14ac:dyDescent="0.2">
      <c r="F342" s="31"/>
      <c r="G342" s="31"/>
      <c r="H342" s="31"/>
    </row>
    <row r="343" spans="6:8" ht="12.75" customHeight="1" x14ac:dyDescent="0.2">
      <c r="F343" s="31"/>
      <c r="G343" s="31"/>
      <c r="H343" s="31"/>
    </row>
    <row r="344" spans="6:8" ht="12.75" customHeight="1" x14ac:dyDescent="0.2">
      <c r="F344" s="31"/>
      <c r="G344" s="31"/>
      <c r="H344" s="31"/>
    </row>
    <row r="345" spans="6:8" ht="12.75" customHeight="1" x14ac:dyDescent="0.2">
      <c r="F345" s="31"/>
      <c r="G345" s="31"/>
      <c r="H345" s="31"/>
    </row>
    <row r="346" spans="6:8" ht="12.75" customHeight="1" x14ac:dyDescent="0.2">
      <c r="F346" s="31"/>
      <c r="G346" s="31"/>
      <c r="H346" s="31"/>
    </row>
    <row r="347" spans="6:8" ht="12.75" customHeight="1" x14ac:dyDescent="0.2">
      <c r="F347" s="31"/>
      <c r="G347" s="31"/>
      <c r="H347" s="31"/>
    </row>
    <row r="348" spans="6:8" ht="12.75" customHeight="1" x14ac:dyDescent="0.2">
      <c r="F348" s="31"/>
      <c r="G348" s="31"/>
      <c r="H348" s="31"/>
    </row>
    <row r="349" spans="6:8" ht="12.75" customHeight="1" x14ac:dyDescent="0.2">
      <c r="F349" s="31"/>
      <c r="G349" s="31"/>
      <c r="H349" s="31"/>
    </row>
    <row r="350" spans="6:8" ht="12.75" customHeight="1" x14ac:dyDescent="0.2">
      <c r="F350" s="31"/>
      <c r="G350" s="31"/>
      <c r="H350" s="31"/>
    </row>
    <row r="351" spans="6:8" ht="12.75" customHeight="1" x14ac:dyDescent="0.2">
      <c r="F351" s="31"/>
      <c r="G351" s="31"/>
      <c r="H351" s="31"/>
    </row>
    <row r="352" spans="6:8" ht="12.75" customHeight="1" x14ac:dyDescent="0.2">
      <c r="F352" s="31"/>
      <c r="G352" s="31"/>
      <c r="H352" s="31"/>
    </row>
    <row r="353" spans="6:8" ht="12.75" customHeight="1" x14ac:dyDescent="0.2">
      <c r="F353" s="31"/>
      <c r="G353" s="31"/>
      <c r="H353" s="31"/>
    </row>
    <row r="354" spans="6:8" ht="12.75" customHeight="1" x14ac:dyDescent="0.2">
      <c r="F354" s="31"/>
      <c r="G354" s="31"/>
      <c r="H354" s="31"/>
    </row>
    <row r="355" spans="6:8" ht="12.75" customHeight="1" x14ac:dyDescent="0.2">
      <c r="F355" s="31"/>
      <c r="G355" s="31"/>
      <c r="H355" s="31"/>
    </row>
    <row r="356" spans="6:8" ht="12.75" customHeight="1" x14ac:dyDescent="0.2">
      <c r="F356" s="31"/>
      <c r="G356" s="31"/>
      <c r="H356" s="31"/>
    </row>
    <row r="357" spans="6:8" ht="12.75" customHeight="1" x14ac:dyDescent="0.2">
      <c r="F357" s="31"/>
      <c r="G357" s="31"/>
      <c r="H357" s="31"/>
    </row>
    <row r="358" spans="6:8" ht="12.75" customHeight="1" x14ac:dyDescent="0.2">
      <c r="F358" s="31"/>
      <c r="G358" s="31"/>
      <c r="H358" s="31"/>
    </row>
    <row r="359" spans="6:8" ht="12.75" customHeight="1" x14ac:dyDescent="0.2">
      <c r="F359" s="31"/>
      <c r="G359" s="31"/>
      <c r="H359" s="31"/>
    </row>
    <row r="360" spans="6:8" ht="12.75" customHeight="1" x14ac:dyDescent="0.2">
      <c r="F360" s="31"/>
      <c r="G360" s="31"/>
      <c r="H360" s="31"/>
    </row>
    <row r="361" spans="6:8" ht="12.75" customHeight="1" x14ac:dyDescent="0.2">
      <c r="F361" s="31"/>
      <c r="G361" s="31"/>
      <c r="H361" s="31"/>
    </row>
    <row r="362" spans="6:8" ht="12.75" customHeight="1" x14ac:dyDescent="0.2">
      <c r="F362" s="31"/>
      <c r="G362" s="31"/>
      <c r="H362" s="31"/>
    </row>
    <row r="363" spans="6:8" ht="12.75" customHeight="1" x14ac:dyDescent="0.2">
      <c r="F363" s="31"/>
      <c r="G363" s="31"/>
      <c r="H363" s="31"/>
    </row>
    <row r="364" spans="6:8" ht="12.75" customHeight="1" x14ac:dyDescent="0.2">
      <c r="F364" s="31"/>
      <c r="G364" s="31"/>
      <c r="H364" s="31"/>
    </row>
    <row r="365" spans="6:8" ht="12.75" customHeight="1" x14ac:dyDescent="0.2">
      <c r="F365" s="31"/>
      <c r="G365" s="31"/>
      <c r="H365" s="31"/>
    </row>
    <row r="366" spans="6:8" ht="12.75" customHeight="1" x14ac:dyDescent="0.2">
      <c r="F366" s="31"/>
      <c r="G366" s="31"/>
      <c r="H366" s="31"/>
    </row>
    <row r="367" spans="6:8" ht="12.75" customHeight="1" x14ac:dyDescent="0.2">
      <c r="F367" s="31"/>
      <c r="G367" s="31"/>
      <c r="H367" s="31"/>
    </row>
    <row r="368" spans="6:8" ht="12.75" customHeight="1" x14ac:dyDescent="0.2">
      <c r="F368" s="31"/>
      <c r="G368" s="31"/>
      <c r="H368" s="31"/>
    </row>
    <row r="369" spans="6:8" ht="12.75" customHeight="1" x14ac:dyDescent="0.2">
      <c r="F369" s="31"/>
      <c r="G369" s="31"/>
      <c r="H369" s="31"/>
    </row>
    <row r="370" spans="6:8" ht="12.75" customHeight="1" x14ac:dyDescent="0.2">
      <c r="F370" s="31"/>
      <c r="G370" s="31"/>
      <c r="H370" s="31"/>
    </row>
    <row r="371" spans="6:8" ht="12.75" customHeight="1" x14ac:dyDescent="0.2">
      <c r="F371" s="31"/>
      <c r="G371" s="31"/>
      <c r="H371" s="31"/>
    </row>
    <row r="372" spans="6:8" ht="12.75" customHeight="1" x14ac:dyDescent="0.2">
      <c r="F372" s="31"/>
      <c r="G372" s="31"/>
      <c r="H372" s="31"/>
    </row>
    <row r="373" spans="6:8" ht="12.75" customHeight="1" x14ac:dyDescent="0.2">
      <c r="F373" s="31"/>
      <c r="G373" s="31"/>
      <c r="H373" s="31"/>
    </row>
    <row r="374" spans="6:8" ht="12.75" customHeight="1" x14ac:dyDescent="0.2">
      <c r="F374" s="31"/>
      <c r="G374" s="31"/>
      <c r="H374" s="31"/>
    </row>
    <row r="375" spans="6:8" ht="12.75" customHeight="1" x14ac:dyDescent="0.2">
      <c r="F375" s="31"/>
      <c r="G375" s="31"/>
      <c r="H375" s="31"/>
    </row>
    <row r="376" spans="6:8" ht="12.75" customHeight="1" x14ac:dyDescent="0.2">
      <c r="F376" s="31"/>
      <c r="G376" s="31"/>
      <c r="H376" s="31"/>
    </row>
    <row r="377" spans="6:8" ht="12.75" customHeight="1" x14ac:dyDescent="0.2">
      <c r="F377" s="31"/>
      <c r="G377" s="31"/>
      <c r="H377" s="31"/>
    </row>
    <row r="378" spans="6:8" ht="12.75" customHeight="1" x14ac:dyDescent="0.2">
      <c r="F378" s="31"/>
      <c r="G378" s="31"/>
      <c r="H378" s="31"/>
    </row>
    <row r="379" spans="6:8" ht="12.75" customHeight="1" x14ac:dyDescent="0.2">
      <c r="F379" s="31"/>
      <c r="G379" s="31"/>
      <c r="H379" s="31"/>
    </row>
    <row r="380" spans="6:8" ht="12.75" customHeight="1" x14ac:dyDescent="0.2">
      <c r="F380" s="31"/>
      <c r="G380" s="31"/>
      <c r="H380" s="31"/>
    </row>
    <row r="381" spans="6:8" ht="12.75" customHeight="1" x14ac:dyDescent="0.2">
      <c r="F381" s="31"/>
      <c r="G381" s="31"/>
      <c r="H381" s="31"/>
    </row>
    <row r="382" spans="6:8" ht="12.75" customHeight="1" x14ac:dyDescent="0.2">
      <c r="F382" s="31"/>
      <c r="G382" s="31"/>
      <c r="H382" s="31"/>
    </row>
    <row r="383" spans="6:8" ht="12.75" customHeight="1" x14ac:dyDescent="0.2">
      <c r="F383" s="31"/>
      <c r="G383" s="31"/>
      <c r="H383" s="31"/>
    </row>
    <row r="384" spans="6:8" ht="12.75" customHeight="1" x14ac:dyDescent="0.2">
      <c r="F384" s="31"/>
      <c r="G384" s="31"/>
      <c r="H384" s="31"/>
    </row>
    <row r="385" spans="6:8" ht="12.75" customHeight="1" x14ac:dyDescent="0.2">
      <c r="F385" s="31"/>
      <c r="G385" s="31"/>
      <c r="H385" s="31"/>
    </row>
    <row r="386" spans="6:8" ht="12.75" customHeight="1" x14ac:dyDescent="0.2">
      <c r="F386" s="31"/>
      <c r="G386" s="31"/>
      <c r="H386" s="31"/>
    </row>
    <row r="387" spans="6:8" ht="12.75" customHeight="1" x14ac:dyDescent="0.2">
      <c r="F387" s="31"/>
      <c r="G387" s="31"/>
      <c r="H387" s="31"/>
    </row>
    <row r="388" spans="6:8" ht="12.75" customHeight="1" x14ac:dyDescent="0.2">
      <c r="F388" s="31"/>
      <c r="G388" s="31"/>
      <c r="H388" s="31"/>
    </row>
    <row r="389" spans="6:8" ht="12.75" customHeight="1" x14ac:dyDescent="0.2">
      <c r="F389" s="31"/>
      <c r="G389" s="31"/>
      <c r="H389" s="31"/>
    </row>
    <row r="390" spans="6:8" ht="12.75" customHeight="1" x14ac:dyDescent="0.2">
      <c r="F390" s="31"/>
      <c r="G390" s="31"/>
      <c r="H390" s="31"/>
    </row>
    <row r="391" spans="6:8" ht="12.75" customHeight="1" x14ac:dyDescent="0.2">
      <c r="F391" s="31"/>
      <c r="G391" s="31"/>
      <c r="H391" s="31"/>
    </row>
    <row r="392" spans="6:8" ht="12.75" customHeight="1" x14ac:dyDescent="0.2">
      <c r="F392" s="31"/>
      <c r="G392" s="31"/>
      <c r="H392" s="31"/>
    </row>
    <row r="393" spans="6:8" ht="12.75" customHeight="1" x14ac:dyDescent="0.2">
      <c r="F393" s="31"/>
      <c r="G393" s="31"/>
      <c r="H393" s="31"/>
    </row>
    <row r="394" spans="6:8" ht="12.75" customHeight="1" x14ac:dyDescent="0.2">
      <c r="F394" s="31"/>
      <c r="G394" s="31"/>
      <c r="H394" s="31"/>
    </row>
    <row r="395" spans="6:8" ht="12.75" customHeight="1" x14ac:dyDescent="0.2">
      <c r="F395" s="31"/>
      <c r="G395" s="31"/>
      <c r="H395" s="31"/>
    </row>
    <row r="396" spans="6:8" ht="12.75" customHeight="1" x14ac:dyDescent="0.2">
      <c r="F396" s="31"/>
      <c r="G396" s="31"/>
      <c r="H396" s="31"/>
    </row>
    <row r="397" spans="6:8" ht="12.75" customHeight="1" x14ac:dyDescent="0.2">
      <c r="F397" s="31"/>
      <c r="G397" s="31"/>
      <c r="H397" s="31"/>
    </row>
    <row r="398" spans="6:8" ht="12.75" customHeight="1" x14ac:dyDescent="0.2">
      <c r="F398" s="31"/>
      <c r="G398" s="31"/>
      <c r="H398" s="31"/>
    </row>
    <row r="399" spans="6:8" ht="12.75" customHeight="1" x14ac:dyDescent="0.2">
      <c r="F399" s="31"/>
      <c r="G399" s="31"/>
      <c r="H399" s="31"/>
    </row>
    <row r="400" spans="6:8" ht="12.75" customHeight="1" x14ac:dyDescent="0.2">
      <c r="F400" s="31"/>
      <c r="G400" s="31"/>
      <c r="H400" s="31"/>
    </row>
    <row r="401" spans="6:8" ht="12.75" customHeight="1" x14ac:dyDescent="0.2">
      <c r="F401" s="31"/>
      <c r="G401" s="31"/>
      <c r="H401" s="31"/>
    </row>
    <row r="402" spans="6:8" ht="12.75" customHeight="1" x14ac:dyDescent="0.2">
      <c r="F402" s="31"/>
      <c r="G402" s="31"/>
      <c r="H402" s="31"/>
    </row>
    <row r="403" spans="6:8" ht="12.75" customHeight="1" x14ac:dyDescent="0.2">
      <c r="F403" s="31"/>
      <c r="G403" s="31"/>
      <c r="H403" s="31"/>
    </row>
    <row r="404" spans="6:8" ht="12.75" customHeight="1" x14ac:dyDescent="0.2">
      <c r="F404" s="31"/>
      <c r="G404" s="31"/>
      <c r="H404" s="31"/>
    </row>
    <row r="405" spans="6:8" ht="12.75" customHeight="1" x14ac:dyDescent="0.2">
      <c r="F405" s="31"/>
      <c r="G405" s="31"/>
      <c r="H405" s="31"/>
    </row>
    <row r="406" spans="6:8" ht="12.75" customHeight="1" x14ac:dyDescent="0.2">
      <c r="F406" s="31"/>
      <c r="G406" s="31"/>
      <c r="H406" s="31"/>
    </row>
    <row r="407" spans="6:8" ht="12.75" customHeight="1" x14ac:dyDescent="0.2">
      <c r="F407" s="31"/>
      <c r="G407" s="31"/>
      <c r="H407" s="31"/>
    </row>
    <row r="408" spans="6:8" ht="12.75" customHeight="1" x14ac:dyDescent="0.2">
      <c r="F408" s="31"/>
      <c r="G408" s="31"/>
      <c r="H408" s="31"/>
    </row>
    <row r="409" spans="6:8" ht="12.75" customHeight="1" x14ac:dyDescent="0.2">
      <c r="F409" s="31"/>
      <c r="G409" s="31"/>
      <c r="H409" s="31"/>
    </row>
    <row r="410" spans="6:8" ht="12.75" customHeight="1" x14ac:dyDescent="0.2">
      <c r="F410" s="31"/>
      <c r="G410" s="31"/>
      <c r="H410" s="31"/>
    </row>
    <row r="411" spans="6:8" ht="12.75" customHeight="1" x14ac:dyDescent="0.2">
      <c r="F411" s="31"/>
      <c r="G411" s="31"/>
      <c r="H411" s="31"/>
    </row>
    <row r="412" spans="6:8" ht="12.75" customHeight="1" x14ac:dyDescent="0.2">
      <c r="F412" s="31"/>
      <c r="G412" s="31"/>
      <c r="H412" s="31"/>
    </row>
    <row r="413" spans="6:8" ht="12.75" customHeight="1" x14ac:dyDescent="0.2">
      <c r="F413" s="31"/>
      <c r="G413" s="31"/>
      <c r="H413" s="31"/>
    </row>
    <row r="414" spans="6:8" ht="12.75" customHeight="1" x14ac:dyDescent="0.2">
      <c r="F414" s="31"/>
      <c r="G414" s="31"/>
      <c r="H414" s="31"/>
    </row>
    <row r="415" spans="6:8" ht="12.75" customHeight="1" x14ac:dyDescent="0.2">
      <c r="F415" s="31"/>
      <c r="G415" s="31"/>
      <c r="H415" s="31"/>
    </row>
    <row r="416" spans="6:8" ht="12.75" customHeight="1" x14ac:dyDescent="0.2">
      <c r="F416" s="31"/>
      <c r="G416" s="31"/>
      <c r="H416" s="31"/>
    </row>
    <row r="417" spans="6:8" ht="12.75" customHeight="1" x14ac:dyDescent="0.2">
      <c r="F417" s="31"/>
      <c r="G417" s="31"/>
      <c r="H417" s="31"/>
    </row>
    <row r="418" spans="6:8" ht="12.75" customHeight="1" x14ac:dyDescent="0.2">
      <c r="F418" s="31"/>
      <c r="G418" s="31"/>
      <c r="H418" s="31"/>
    </row>
    <row r="419" spans="6:8" ht="12.75" customHeight="1" x14ac:dyDescent="0.2">
      <c r="F419" s="31"/>
      <c r="G419" s="31"/>
      <c r="H419" s="31"/>
    </row>
    <row r="420" spans="6:8" ht="12.75" customHeight="1" x14ac:dyDescent="0.2">
      <c r="F420" s="31"/>
      <c r="G420" s="31"/>
      <c r="H420" s="31"/>
    </row>
    <row r="421" spans="6:8" ht="12.75" customHeight="1" x14ac:dyDescent="0.2">
      <c r="F421" s="31"/>
      <c r="G421" s="31"/>
      <c r="H421" s="31"/>
    </row>
    <row r="422" spans="6:8" ht="12.75" customHeight="1" x14ac:dyDescent="0.2">
      <c r="F422" s="31"/>
      <c r="G422" s="31"/>
      <c r="H422" s="31"/>
    </row>
    <row r="423" spans="6:8" ht="12.75" customHeight="1" x14ac:dyDescent="0.2">
      <c r="F423" s="31"/>
      <c r="G423" s="31"/>
      <c r="H423" s="31"/>
    </row>
    <row r="424" spans="6:8" ht="12.75" customHeight="1" x14ac:dyDescent="0.2">
      <c r="F424" s="31"/>
      <c r="G424" s="31"/>
      <c r="H424" s="31"/>
    </row>
    <row r="425" spans="6:8" ht="12.75" customHeight="1" x14ac:dyDescent="0.2">
      <c r="F425" s="31"/>
      <c r="G425" s="31"/>
      <c r="H425" s="31"/>
    </row>
    <row r="426" spans="6:8" ht="12.75" customHeight="1" x14ac:dyDescent="0.2">
      <c r="F426" s="31"/>
      <c r="G426" s="31"/>
      <c r="H426" s="31"/>
    </row>
    <row r="427" spans="6:8" ht="12.75" customHeight="1" x14ac:dyDescent="0.2">
      <c r="F427" s="31"/>
      <c r="G427" s="31"/>
      <c r="H427" s="31"/>
    </row>
    <row r="428" spans="6:8" ht="12.75" customHeight="1" x14ac:dyDescent="0.2">
      <c r="F428" s="31"/>
      <c r="G428" s="31"/>
      <c r="H428" s="31"/>
    </row>
    <row r="429" spans="6:8" ht="12.75" customHeight="1" x14ac:dyDescent="0.2">
      <c r="F429" s="31"/>
      <c r="G429" s="31"/>
      <c r="H429" s="31"/>
    </row>
    <row r="430" spans="6:8" ht="12.75" customHeight="1" x14ac:dyDescent="0.2">
      <c r="F430" s="31"/>
      <c r="G430" s="31"/>
      <c r="H430" s="31"/>
    </row>
    <row r="431" spans="6:8" ht="12.75" customHeight="1" x14ac:dyDescent="0.2">
      <c r="F431" s="31"/>
      <c r="G431" s="31"/>
      <c r="H431" s="31"/>
    </row>
    <row r="432" spans="6:8" ht="12.75" customHeight="1" x14ac:dyDescent="0.2">
      <c r="F432" s="31"/>
      <c r="G432" s="31"/>
      <c r="H432" s="31"/>
    </row>
    <row r="433" spans="6:8" ht="12.75" customHeight="1" x14ac:dyDescent="0.2">
      <c r="F433" s="31"/>
      <c r="G433" s="31"/>
      <c r="H433" s="31"/>
    </row>
    <row r="434" spans="6:8" ht="12.75" customHeight="1" x14ac:dyDescent="0.2">
      <c r="F434" s="31"/>
      <c r="G434" s="31"/>
      <c r="H434" s="31"/>
    </row>
    <row r="435" spans="6:8" ht="12.75" customHeight="1" x14ac:dyDescent="0.2">
      <c r="F435" s="31"/>
      <c r="G435" s="31"/>
      <c r="H435" s="31"/>
    </row>
    <row r="436" spans="6:8" ht="12.75" customHeight="1" x14ac:dyDescent="0.2">
      <c r="F436" s="31"/>
      <c r="G436" s="31"/>
      <c r="H436" s="31"/>
    </row>
    <row r="437" spans="6:8" ht="12.75" customHeight="1" x14ac:dyDescent="0.2">
      <c r="F437" s="31"/>
      <c r="G437" s="31"/>
      <c r="H437" s="31"/>
    </row>
    <row r="438" spans="6:8" ht="12.75" customHeight="1" x14ac:dyDescent="0.2">
      <c r="F438" s="31"/>
      <c r="G438" s="31"/>
      <c r="H438" s="31"/>
    </row>
    <row r="439" spans="6:8" ht="12.75" customHeight="1" x14ac:dyDescent="0.2">
      <c r="F439" s="31"/>
      <c r="G439" s="31"/>
      <c r="H439" s="31"/>
    </row>
    <row r="440" spans="6:8" ht="12.75" customHeight="1" x14ac:dyDescent="0.2">
      <c r="F440" s="31"/>
      <c r="G440" s="31"/>
      <c r="H440" s="31"/>
    </row>
    <row r="441" spans="6:8" ht="12.75" customHeight="1" x14ac:dyDescent="0.2">
      <c r="F441" s="31"/>
      <c r="G441" s="31"/>
      <c r="H441" s="31"/>
    </row>
    <row r="442" spans="6:8" ht="12.75" customHeight="1" x14ac:dyDescent="0.2">
      <c r="F442" s="31"/>
      <c r="G442" s="31"/>
      <c r="H442" s="31"/>
    </row>
    <row r="443" spans="6:8" ht="12.75" customHeight="1" x14ac:dyDescent="0.2">
      <c r="F443" s="31"/>
      <c r="G443" s="31"/>
      <c r="H443" s="31"/>
    </row>
    <row r="444" spans="6:8" ht="12.75" customHeight="1" x14ac:dyDescent="0.2">
      <c r="F444" s="31"/>
      <c r="G444" s="31"/>
      <c r="H444" s="31"/>
    </row>
    <row r="445" spans="6:8" ht="12.75" customHeight="1" x14ac:dyDescent="0.2">
      <c r="F445" s="31"/>
      <c r="G445" s="31"/>
      <c r="H445" s="31"/>
    </row>
    <row r="446" spans="6:8" ht="12.75" customHeight="1" x14ac:dyDescent="0.2">
      <c r="F446" s="31"/>
      <c r="G446" s="31"/>
      <c r="H446" s="31"/>
    </row>
    <row r="447" spans="6:8" ht="12.75" customHeight="1" x14ac:dyDescent="0.2">
      <c r="F447" s="31"/>
      <c r="G447" s="31"/>
      <c r="H447" s="31"/>
    </row>
    <row r="448" spans="6:8" ht="12.75" customHeight="1" x14ac:dyDescent="0.2">
      <c r="F448" s="31"/>
      <c r="G448" s="31"/>
      <c r="H448" s="31"/>
    </row>
    <row r="449" spans="6:8" ht="12.75" customHeight="1" x14ac:dyDescent="0.2">
      <c r="F449" s="31"/>
      <c r="G449" s="31"/>
      <c r="H449" s="31"/>
    </row>
    <row r="450" spans="6:8" ht="12.75" customHeight="1" x14ac:dyDescent="0.2">
      <c r="F450" s="31"/>
      <c r="G450" s="31"/>
      <c r="H450" s="31"/>
    </row>
    <row r="451" spans="6:8" ht="12.75" customHeight="1" x14ac:dyDescent="0.2">
      <c r="F451" s="31"/>
      <c r="G451" s="31"/>
      <c r="H451" s="31"/>
    </row>
    <row r="452" spans="6:8" ht="12.75" customHeight="1" x14ac:dyDescent="0.2">
      <c r="F452" s="31"/>
      <c r="G452" s="31"/>
      <c r="H452" s="31"/>
    </row>
    <row r="453" spans="6:8" ht="12.75" customHeight="1" x14ac:dyDescent="0.2">
      <c r="F453" s="31"/>
      <c r="G453" s="31"/>
      <c r="H453" s="31"/>
    </row>
    <row r="454" spans="6:8" ht="12.75" customHeight="1" x14ac:dyDescent="0.2">
      <c r="F454" s="31"/>
      <c r="G454" s="31"/>
      <c r="H454" s="31"/>
    </row>
    <row r="455" spans="6:8" ht="12.75" customHeight="1" x14ac:dyDescent="0.2">
      <c r="F455" s="31"/>
      <c r="G455" s="31"/>
      <c r="H455" s="31"/>
    </row>
    <row r="456" spans="6:8" ht="12.75" customHeight="1" x14ac:dyDescent="0.2">
      <c r="F456" s="31"/>
      <c r="G456" s="31"/>
      <c r="H456" s="31"/>
    </row>
    <row r="457" spans="6:8" ht="12.75" customHeight="1" x14ac:dyDescent="0.2">
      <c r="F457" s="31"/>
      <c r="G457" s="31"/>
      <c r="H457" s="31"/>
    </row>
    <row r="458" spans="6:8" ht="12.75" customHeight="1" x14ac:dyDescent="0.2">
      <c r="F458" s="31"/>
      <c r="G458" s="31"/>
      <c r="H458" s="31"/>
    </row>
    <row r="459" spans="6:8" ht="12.75" customHeight="1" x14ac:dyDescent="0.2">
      <c r="F459" s="31"/>
      <c r="G459" s="31"/>
      <c r="H459" s="31"/>
    </row>
    <row r="460" spans="6:8" ht="12.75" customHeight="1" x14ac:dyDescent="0.2">
      <c r="F460" s="31"/>
      <c r="G460" s="31"/>
      <c r="H460" s="31"/>
    </row>
    <row r="461" spans="6:8" ht="12.75" customHeight="1" x14ac:dyDescent="0.2">
      <c r="F461" s="31"/>
      <c r="G461" s="31"/>
      <c r="H461" s="31"/>
    </row>
    <row r="462" spans="6:8" ht="12.75" customHeight="1" x14ac:dyDescent="0.2">
      <c r="F462" s="31"/>
      <c r="G462" s="31"/>
      <c r="H462" s="31"/>
    </row>
    <row r="463" spans="6:8" ht="12.75" customHeight="1" x14ac:dyDescent="0.2">
      <c r="F463" s="31"/>
      <c r="G463" s="31"/>
      <c r="H463" s="31"/>
    </row>
    <row r="464" spans="6:8" ht="12.75" customHeight="1" x14ac:dyDescent="0.2">
      <c r="F464" s="31"/>
      <c r="G464" s="31"/>
      <c r="H464" s="31"/>
    </row>
    <row r="465" spans="6:8" ht="12.75" customHeight="1" x14ac:dyDescent="0.2">
      <c r="F465" s="31"/>
      <c r="G465" s="31"/>
      <c r="H465" s="31"/>
    </row>
    <row r="466" spans="6:8" ht="12.75" customHeight="1" x14ac:dyDescent="0.2">
      <c r="F466" s="31"/>
      <c r="G466" s="31"/>
      <c r="H466" s="31"/>
    </row>
    <row r="467" spans="6:8" ht="12.75" customHeight="1" x14ac:dyDescent="0.2">
      <c r="F467" s="31"/>
      <c r="G467" s="31"/>
      <c r="H467" s="31"/>
    </row>
    <row r="468" spans="6:8" ht="12.75" customHeight="1" x14ac:dyDescent="0.2">
      <c r="F468" s="31"/>
      <c r="G468" s="31"/>
      <c r="H468" s="31"/>
    </row>
    <row r="469" spans="6:8" ht="12.75" customHeight="1" x14ac:dyDescent="0.2">
      <c r="F469" s="31"/>
      <c r="G469" s="31"/>
      <c r="H469" s="31"/>
    </row>
    <row r="470" spans="6:8" ht="12.75" customHeight="1" x14ac:dyDescent="0.2">
      <c r="F470" s="31"/>
      <c r="G470" s="31"/>
      <c r="H470" s="31"/>
    </row>
    <row r="471" spans="6:8" ht="12.75" customHeight="1" x14ac:dyDescent="0.2">
      <c r="F471" s="31"/>
      <c r="G471" s="31"/>
      <c r="H471" s="31"/>
    </row>
    <row r="472" spans="6:8" ht="12.75" customHeight="1" x14ac:dyDescent="0.2">
      <c r="F472" s="31"/>
      <c r="G472" s="31"/>
      <c r="H472" s="31"/>
    </row>
    <row r="473" spans="6:8" ht="12.75" customHeight="1" x14ac:dyDescent="0.2">
      <c r="F473" s="31"/>
      <c r="G473" s="31"/>
      <c r="H473" s="31"/>
    </row>
    <row r="474" spans="6:8" ht="12.75" customHeight="1" x14ac:dyDescent="0.2">
      <c r="F474" s="31"/>
      <c r="G474" s="31"/>
      <c r="H474" s="31"/>
    </row>
    <row r="475" spans="6:8" ht="12.75" customHeight="1" x14ac:dyDescent="0.2">
      <c r="F475" s="31"/>
      <c r="G475" s="31"/>
      <c r="H475" s="31"/>
    </row>
    <row r="476" spans="6:8" ht="12.75" customHeight="1" x14ac:dyDescent="0.2">
      <c r="F476" s="31"/>
      <c r="G476" s="31"/>
      <c r="H476" s="31"/>
    </row>
    <row r="477" spans="6:8" ht="12.75" customHeight="1" x14ac:dyDescent="0.2">
      <c r="F477" s="31"/>
      <c r="G477" s="31"/>
      <c r="H477" s="31"/>
    </row>
    <row r="478" spans="6:8" ht="12.75" customHeight="1" x14ac:dyDescent="0.2">
      <c r="F478" s="31"/>
      <c r="G478" s="31"/>
      <c r="H478" s="31"/>
    </row>
    <row r="479" spans="6:8" ht="12.75" customHeight="1" x14ac:dyDescent="0.2">
      <c r="F479" s="31"/>
      <c r="G479" s="31"/>
      <c r="H479" s="31"/>
    </row>
    <row r="480" spans="6:8" ht="12.75" customHeight="1" x14ac:dyDescent="0.2">
      <c r="F480" s="31"/>
      <c r="G480" s="31"/>
      <c r="H480" s="31"/>
    </row>
    <row r="481" spans="6:8" ht="12.75" customHeight="1" x14ac:dyDescent="0.2">
      <c r="F481" s="31"/>
      <c r="G481" s="31"/>
      <c r="H481" s="31"/>
    </row>
    <row r="482" spans="6:8" ht="12.75" customHeight="1" x14ac:dyDescent="0.2">
      <c r="F482" s="31"/>
      <c r="G482" s="31"/>
      <c r="H482" s="31"/>
    </row>
    <row r="483" spans="6:8" ht="12.75" customHeight="1" x14ac:dyDescent="0.2">
      <c r="F483" s="31"/>
      <c r="G483" s="31"/>
      <c r="H483" s="31"/>
    </row>
    <row r="484" spans="6:8" ht="12.75" customHeight="1" x14ac:dyDescent="0.2">
      <c r="F484" s="31"/>
      <c r="G484" s="31"/>
      <c r="H484" s="31"/>
    </row>
    <row r="485" spans="6:8" ht="12.75" customHeight="1" x14ac:dyDescent="0.2">
      <c r="F485" s="31"/>
      <c r="G485" s="31"/>
      <c r="H485" s="31"/>
    </row>
    <row r="486" spans="6:8" ht="12.75" customHeight="1" x14ac:dyDescent="0.2">
      <c r="F486" s="31"/>
      <c r="G486" s="31"/>
      <c r="H486" s="31"/>
    </row>
    <row r="487" spans="6:8" ht="12.75" customHeight="1" x14ac:dyDescent="0.2">
      <c r="F487" s="31"/>
      <c r="G487" s="31"/>
      <c r="H487" s="31"/>
    </row>
    <row r="488" spans="6:8" ht="12.75" customHeight="1" x14ac:dyDescent="0.2">
      <c r="F488" s="31"/>
      <c r="G488" s="31"/>
      <c r="H488" s="31"/>
    </row>
    <row r="489" spans="6:8" ht="12.75" customHeight="1" x14ac:dyDescent="0.2">
      <c r="F489" s="31"/>
      <c r="G489" s="31"/>
      <c r="H489" s="31"/>
    </row>
    <row r="490" spans="6:8" ht="12.75" customHeight="1" x14ac:dyDescent="0.2">
      <c r="F490" s="31"/>
      <c r="G490" s="31"/>
      <c r="H490" s="31"/>
    </row>
    <row r="491" spans="6:8" ht="12.75" customHeight="1" x14ac:dyDescent="0.2">
      <c r="F491" s="31"/>
      <c r="G491" s="31"/>
      <c r="H491" s="31"/>
    </row>
    <row r="492" spans="6:8" ht="12.75" customHeight="1" x14ac:dyDescent="0.2">
      <c r="F492" s="31"/>
      <c r="G492" s="31"/>
      <c r="H492" s="31"/>
    </row>
    <row r="493" spans="6:8" ht="12.75" customHeight="1" x14ac:dyDescent="0.2">
      <c r="F493" s="31"/>
      <c r="G493" s="31"/>
      <c r="H493" s="31"/>
    </row>
    <row r="494" spans="6:8" ht="12.75" customHeight="1" x14ac:dyDescent="0.2">
      <c r="F494" s="31"/>
      <c r="G494" s="31"/>
      <c r="H494" s="31"/>
    </row>
    <row r="495" spans="6:8" ht="12.75" customHeight="1" x14ac:dyDescent="0.2">
      <c r="F495" s="31"/>
      <c r="G495" s="31"/>
      <c r="H495" s="31"/>
    </row>
    <row r="496" spans="6:8" ht="12.75" customHeight="1" x14ac:dyDescent="0.2">
      <c r="F496" s="31"/>
      <c r="G496" s="31"/>
      <c r="H496" s="31"/>
    </row>
    <row r="497" spans="6:8" ht="12.75" customHeight="1" x14ac:dyDescent="0.2">
      <c r="F497" s="31"/>
      <c r="G497" s="31"/>
      <c r="H497" s="31"/>
    </row>
    <row r="498" spans="6:8" ht="12.75" customHeight="1" x14ac:dyDescent="0.2">
      <c r="F498" s="31"/>
      <c r="G498" s="31"/>
      <c r="H498" s="31"/>
    </row>
    <row r="499" spans="6:8" ht="12.75" customHeight="1" x14ac:dyDescent="0.2">
      <c r="F499" s="31"/>
      <c r="G499" s="31"/>
      <c r="H499" s="31"/>
    </row>
    <row r="500" spans="6:8" ht="12.75" customHeight="1" x14ac:dyDescent="0.2">
      <c r="F500" s="31"/>
      <c r="G500" s="31"/>
      <c r="H500" s="31"/>
    </row>
    <row r="501" spans="6:8" ht="12.75" customHeight="1" x14ac:dyDescent="0.2">
      <c r="F501" s="31"/>
      <c r="G501" s="31"/>
      <c r="H501" s="31"/>
    </row>
    <row r="502" spans="6:8" ht="12.75" customHeight="1" x14ac:dyDescent="0.2">
      <c r="F502" s="31"/>
      <c r="G502" s="31"/>
      <c r="H502" s="31"/>
    </row>
    <row r="503" spans="6:8" ht="12.75" customHeight="1" x14ac:dyDescent="0.2">
      <c r="F503" s="31"/>
      <c r="G503" s="31"/>
      <c r="H503" s="31"/>
    </row>
    <row r="504" spans="6:8" ht="12.75" customHeight="1" x14ac:dyDescent="0.2">
      <c r="F504" s="31"/>
      <c r="G504" s="31"/>
      <c r="H504" s="31"/>
    </row>
    <row r="505" spans="6:8" ht="12.75" customHeight="1" x14ac:dyDescent="0.2">
      <c r="F505" s="31"/>
      <c r="G505" s="31"/>
      <c r="H505" s="31"/>
    </row>
    <row r="506" spans="6:8" ht="12.75" customHeight="1" x14ac:dyDescent="0.2">
      <c r="F506" s="31"/>
      <c r="G506" s="31"/>
      <c r="H506" s="31"/>
    </row>
    <row r="507" spans="6:8" ht="12.75" customHeight="1" x14ac:dyDescent="0.2">
      <c r="F507" s="31"/>
      <c r="G507" s="31"/>
      <c r="H507" s="31"/>
    </row>
    <row r="508" spans="6:8" ht="12.75" customHeight="1" x14ac:dyDescent="0.2">
      <c r="F508" s="31"/>
      <c r="G508" s="31"/>
      <c r="H508" s="31"/>
    </row>
    <row r="509" spans="6:8" ht="12.75" customHeight="1" x14ac:dyDescent="0.2">
      <c r="F509" s="31"/>
      <c r="G509" s="31"/>
      <c r="H509" s="31"/>
    </row>
    <row r="510" spans="6:8" ht="12.75" customHeight="1" x14ac:dyDescent="0.2">
      <c r="F510" s="31"/>
      <c r="G510" s="31"/>
      <c r="H510" s="31"/>
    </row>
    <row r="511" spans="6:8" ht="12.75" customHeight="1" x14ac:dyDescent="0.2">
      <c r="F511" s="31"/>
      <c r="G511" s="31"/>
      <c r="H511" s="31"/>
    </row>
    <row r="512" spans="6:8" ht="12.75" customHeight="1" x14ac:dyDescent="0.2">
      <c r="F512" s="31"/>
      <c r="G512" s="31"/>
      <c r="H512" s="31"/>
    </row>
    <row r="513" spans="6:8" ht="12.75" customHeight="1" x14ac:dyDescent="0.2">
      <c r="F513" s="31"/>
      <c r="G513" s="31"/>
      <c r="H513" s="31"/>
    </row>
    <row r="514" spans="6:8" ht="12.75" customHeight="1" x14ac:dyDescent="0.2">
      <c r="F514" s="31"/>
      <c r="G514" s="31"/>
      <c r="H514" s="31"/>
    </row>
    <row r="515" spans="6:8" ht="12.75" customHeight="1" x14ac:dyDescent="0.2">
      <c r="F515" s="31"/>
      <c r="G515" s="31"/>
      <c r="H515" s="31"/>
    </row>
    <row r="516" spans="6:8" ht="12.75" customHeight="1" x14ac:dyDescent="0.2">
      <c r="F516" s="31"/>
      <c r="G516" s="31"/>
      <c r="H516" s="31"/>
    </row>
    <row r="517" spans="6:8" ht="12.75" customHeight="1" x14ac:dyDescent="0.2">
      <c r="F517" s="31"/>
      <c r="G517" s="31"/>
      <c r="H517" s="31"/>
    </row>
    <row r="518" spans="6:8" ht="12.75" customHeight="1" x14ac:dyDescent="0.2">
      <c r="F518" s="31"/>
      <c r="G518" s="31"/>
      <c r="H518" s="31"/>
    </row>
    <row r="519" spans="6:8" ht="12.75" customHeight="1" x14ac:dyDescent="0.2">
      <c r="F519" s="31"/>
      <c r="G519" s="31"/>
      <c r="H519" s="31"/>
    </row>
    <row r="520" spans="6:8" ht="12.75" customHeight="1" x14ac:dyDescent="0.2">
      <c r="F520" s="31"/>
      <c r="G520" s="31"/>
      <c r="H520" s="31"/>
    </row>
    <row r="521" spans="6:8" ht="12.75" customHeight="1" x14ac:dyDescent="0.2">
      <c r="F521" s="31"/>
      <c r="G521" s="31"/>
      <c r="H521" s="31"/>
    </row>
    <row r="522" spans="6:8" ht="12.75" customHeight="1" x14ac:dyDescent="0.2">
      <c r="F522" s="31"/>
      <c r="G522" s="31"/>
      <c r="H522" s="31"/>
    </row>
    <row r="523" spans="6:8" ht="12.75" customHeight="1" x14ac:dyDescent="0.2">
      <c r="F523" s="31"/>
      <c r="G523" s="31"/>
      <c r="H523" s="31"/>
    </row>
    <row r="524" spans="6:8" ht="12.75" customHeight="1" x14ac:dyDescent="0.2">
      <c r="F524" s="31"/>
      <c r="G524" s="31"/>
      <c r="H524" s="31"/>
    </row>
    <row r="525" spans="6:8" ht="12.75" customHeight="1" x14ac:dyDescent="0.2">
      <c r="F525" s="31"/>
      <c r="G525" s="31"/>
      <c r="H525" s="31"/>
    </row>
    <row r="526" spans="6:8" ht="12.75" customHeight="1" x14ac:dyDescent="0.2">
      <c r="F526" s="31"/>
      <c r="G526" s="31"/>
      <c r="H526" s="31"/>
    </row>
    <row r="527" spans="6:8" ht="12.75" customHeight="1" x14ac:dyDescent="0.2">
      <c r="F527" s="31"/>
      <c r="G527" s="31"/>
      <c r="H527" s="31"/>
    </row>
    <row r="528" spans="6:8" ht="12.75" customHeight="1" x14ac:dyDescent="0.2">
      <c r="F528" s="31"/>
      <c r="G528" s="31"/>
      <c r="H528" s="31"/>
    </row>
    <row r="529" spans="6:8" ht="12.75" customHeight="1" x14ac:dyDescent="0.2">
      <c r="F529" s="31"/>
      <c r="G529" s="31"/>
      <c r="H529" s="31"/>
    </row>
    <row r="530" spans="6:8" ht="12.75" customHeight="1" x14ac:dyDescent="0.2">
      <c r="F530" s="31"/>
      <c r="G530" s="31"/>
      <c r="H530" s="31"/>
    </row>
    <row r="531" spans="6:8" ht="12.75" customHeight="1" x14ac:dyDescent="0.2">
      <c r="F531" s="31"/>
      <c r="G531" s="31"/>
      <c r="H531" s="31"/>
    </row>
    <row r="532" spans="6:8" ht="12.75" customHeight="1" x14ac:dyDescent="0.2">
      <c r="F532" s="31"/>
      <c r="G532" s="31"/>
      <c r="H532" s="31"/>
    </row>
    <row r="533" spans="6:8" ht="12.75" customHeight="1" x14ac:dyDescent="0.2">
      <c r="F533" s="31"/>
      <c r="G533" s="31"/>
      <c r="H533" s="31"/>
    </row>
    <row r="534" spans="6:8" ht="12.75" customHeight="1" x14ac:dyDescent="0.2">
      <c r="F534" s="31"/>
      <c r="G534" s="31"/>
      <c r="H534" s="31"/>
    </row>
    <row r="535" spans="6:8" ht="12.75" customHeight="1" x14ac:dyDescent="0.2">
      <c r="F535" s="31"/>
      <c r="G535" s="31"/>
      <c r="H535" s="31"/>
    </row>
    <row r="536" spans="6:8" ht="12.75" customHeight="1" x14ac:dyDescent="0.2">
      <c r="F536" s="31"/>
      <c r="G536" s="31"/>
      <c r="H536" s="31"/>
    </row>
    <row r="537" spans="6:8" ht="12.75" customHeight="1" x14ac:dyDescent="0.2">
      <c r="F537" s="31"/>
      <c r="G537" s="31"/>
      <c r="H537" s="31"/>
    </row>
    <row r="538" spans="6:8" ht="12.75" customHeight="1" x14ac:dyDescent="0.2">
      <c r="F538" s="31"/>
      <c r="G538" s="31"/>
      <c r="H538" s="31"/>
    </row>
    <row r="539" spans="6:8" ht="12.75" customHeight="1" x14ac:dyDescent="0.2">
      <c r="F539" s="31"/>
      <c r="G539" s="31"/>
      <c r="H539" s="31"/>
    </row>
    <row r="540" spans="6:8" ht="12.75" customHeight="1" x14ac:dyDescent="0.2">
      <c r="F540" s="31"/>
      <c r="G540" s="31"/>
      <c r="H540" s="31"/>
    </row>
    <row r="541" spans="6:8" ht="12.75" customHeight="1" x14ac:dyDescent="0.2">
      <c r="F541" s="31"/>
      <c r="G541" s="31"/>
      <c r="H541" s="31"/>
    </row>
    <row r="542" spans="6:8" ht="12.75" customHeight="1" x14ac:dyDescent="0.2">
      <c r="F542" s="31"/>
      <c r="G542" s="31"/>
      <c r="H542" s="31"/>
    </row>
    <row r="543" spans="6:8" ht="12.75" customHeight="1" x14ac:dyDescent="0.2">
      <c r="F543" s="31"/>
      <c r="G543" s="31"/>
      <c r="H543" s="31"/>
    </row>
    <row r="544" spans="6:8" ht="12.75" customHeight="1" x14ac:dyDescent="0.2">
      <c r="F544" s="31"/>
      <c r="G544" s="31"/>
      <c r="H544" s="31"/>
    </row>
    <row r="545" spans="6:8" ht="12.75" customHeight="1" x14ac:dyDescent="0.2">
      <c r="F545" s="31"/>
      <c r="G545" s="31"/>
      <c r="H545" s="31"/>
    </row>
    <row r="546" spans="6:8" ht="12.75" customHeight="1" x14ac:dyDescent="0.2">
      <c r="F546" s="31"/>
      <c r="G546" s="31"/>
      <c r="H546" s="31"/>
    </row>
    <row r="547" spans="6:8" ht="12.75" customHeight="1" x14ac:dyDescent="0.2">
      <c r="F547" s="31"/>
      <c r="G547" s="31"/>
      <c r="H547" s="31"/>
    </row>
    <row r="548" spans="6:8" ht="12.75" customHeight="1" x14ac:dyDescent="0.2">
      <c r="F548" s="31"/>
      <c r="G548" s="31"/>
      <c r="H548" s="31"/>
    </row>
    <row r="549" spans="6:8" ht="12.75" customHeight="1" x14ac:dyDescent="0.2">
      <c r="F549" s="31"/>
      <c r="G549" s="31"/>
      <c r="H549" s="31"/>
    </row>
    <row r="550" spans="6:8" ht="12.75" customHeight="1" x14ac:dyDescent="0.2">
      <c r="F550" s="31"/>
      <c r="G550" s="31"/>
      <c r="H550" s="31"/>
    </row>
    <row r="551" spans="6:8" ht="12.75" customHeight="1" x14ac:dyDescent="0.2">
      <c r="F551" s="31"/>
      <c r="G551" s="31"/>
      <c r="H551" s="31"/>
    </row>
    <row r="552" spans="6:8" ht="12.75" customHeight="1" x14ac:dyDescent="0.2">
      <c r="F552" s="31"/>
      <c r="G552" s="31"/>
      <c r="H552" s="31"/>
    </row>
    <row r="553" spans="6:8" ht="12.75" customHeight="1" x14ac:dyDescent="0.2">
      <c r="F553" s="31"/>
      <c r="G553" s="31"/>
      <c r="H553" s="31"/>
    </row>
    <row r="554" spans="6:8" ht="12.75" customHeight="1" x14ac:dyDescent="0.2">
      <c r="F554" s="31"/>
      <c r="G554" s="31"/>
      <c r="H554" s="31"/>
    </row>
    <row r="555" spans="6:8" ht="12.75" customHeight="1" x14ac:dyDescent="0.2">
      <c r="F555" s="31"/>
      <c r="G555" s="31"/>
      <c r="H555" s="31"/>
    </row>
    <row r="556" spans="6:8" ht="12.75" customHeight="1" x14ac:dyDescent="0.2">
      <c r="F556" s="31"/>
      <c r="G556" s="31"/>
      <c r="H556" s="31"/>
    </row>
    <row r="557" spans="6:8" ht="12.75" customHeight="1" x14ac:dyDescent="0.2">
      <c r="F557" s="31"/>
      <c r="G557" s="31"/>
      <c r="H557" s="31"/>
    </row>
    <row r="558" spans="6:8" ht="12.75" customHeight="1" x14ac:dyDescent="0.2">
      <c r="F558" s="31"/>
      <c r="G558" s="31"/>
      <c r="H558" s="31"/>
    </row>
    <row r="559" spans="6:8" ht="12.75" customHeight="1" x14ac:dyDescent="0.2">
      <c r="F559" s="31"/>
      <c r="G559" s="31"/>
      <c r="H559" s="31"/>
    </row>
    <row r="560" spans="6:8" ht="12.75" customHeight="1" x14ac:dyDescent="0.2">
      <c r="F560" s="31"/>
      <c r="G560" s="31"/>
      <c r="H560" s="31"/>
    </row>
    <row r="561" spans="6:8" ht="12.75" customHeight="1" x14ac:dyDescent="0.2">
      <c r="F561" s="31"/>
      <c r="G561" s="31"/>
      <c r="H561" s="31"/>
    </row>
    <row r="562" spans="6:8" ht="12.75" customHeight="1" x14ac:dyDescent="0.2">
      <c r="F562" s="31"/>
      <c r="G562" s="31"/>
      <c r="H562" s="31"/>
    </row>
    <row r="563" spans="6:8" ht="12.75" customHeight="1" x14ac:dyDescent="0.2">
      <c r="F563" s="31"/>
      <c r="G563" s="31"/>
      <c r="H563" s="31"/>
    </row>
    <row r="564" spans="6:8" ht="12.75" customHeight="1" x14ac:dyDescent="0.2">
      <c r="F564" s="31"/>
      <c r="G564" s="31"/>
      <c r="H564" s="31"/>
    </row>
    <row r="565" spans="6:8" ht="12.75" customHeight="1" x14ac:dyDescent="0.2">
      <c r="F565" s="31"/>
      <c r="G565" s="31"/>
      <c r="H565" s="31"/>
    </row>
    <row r="566" spans="6:8" ht="12.75" customHeight="1" x14ac:dyDescent="0.2">
      <c r="F566" s="31"/>
      <c r="G566" s="31"/>
      <c r="H566" s="31"/>
    </row>
    <row r="567" spans="6:8" ht="12.75" customHeight="1" x14ac:dyDescent="0.2">
      <c r="F567" s="31"/>
      <c r="G567" s="31"/>
      <c r="H567" s="31"/>
    </row>
    <row r="568" spans="6:8" ht="12.75" customHeight="1" x14ac:dyDescent="0.2">
      <c r="F568" s="31"/>
      <c r="G568" s="31"/>
      <c r="H568" s="31"/>
    </row>
    <row r="569" spans="6:8" ht="12.75" customHeight="1" x14ac:dyDescent="0.2">
      <c r="F569" s="31"/>
      <c r="G569" s="31"/>
      <c r="H569" s="31"/>
    </row>
    <row r="570" spans="6:8" ht="12.75" customHeight="1" x14ac:dyDescent="0.2">
      <c r="F570" s="31"/>
      <c r="G570" s="31"/>
      <c r="H570" s="31"/>
    </row>
    <row r="571" spans="6:8" ht="12.75" customHeight="1" x14ac:dyDescent="0.2">
      <c r="F571" s="31"/>
      <c r="G571" s="31"/>
      <c r="H571" s="31"/>
    </row>
    <row r="572" spans="6:8" ht="12.75" customHeight="1" x14ac:dyDescent="0.2">
      <c r="F572" s="31"/>
      <c r="G572" s="31"/>
      <c r="H572" s="31"/>
    </row>
    <row r="573" spans="6:8" ht="12.75" customHeight="1" x14ac:dyDescent="0.2">
      <c r="F573" s="31"/>
      <c r="G573" s="31"/>
      <c r="H573" s="31"/>
    </row>
    <row r="574" spans="6:8" ht="12.75" customHeight="1" x14ac:dyDescent="0.2">
      <c r="F574" s="31"/>
      <c r="G574" s="31"/>
      <c r="H574" s="31"/>
    </row>
    <row r="575" spans="6:8" ht="12.75" customHeight="1" x14ac:dyDescent="0.2">
      <c r="F575" s="31"/>
      <c r="G575" s="31"/>
      <c r="H575" s="31"/>
    </row>
    <row r="576" spans="6:8" ht="12.75" customHeight="1" x14ac:dyDescent="0.2">
      <c r="F576" s="31"/>
      <c r="G576" s="31"/>
      <c r="H576" s="31"/>
    </row>
    <row r="577" spans="6:8" ht="12.75" customHeight="1" x14ac:dyDescent="0.2">
      <c r="F577" s="31"/>
      <c r="G577" s="31"/>
      <c r="H577" s="31"/>
    </row>
    <row r="578" spans="6:8" ht="12.75" customHeight="1" x14ac:dyDescent="0.2">
      <c r="F578" s="31"/>
      <c r="G578" s="31"/>
      <c r="H578" s="31"/>
    </row>
    <row r="579" spans="6:8" ht="12.75" customHeight="1" x14ac:dyDescent="0.2">
      <c r="F579" s="31"/>
      <c r="G579" s="31"/>
      <c r="H579" s="31"/>
    </row>
    <row r="580" spans="6:8" ht="12.75" customHeight="1" x14ac:dyDescent="0.2">
      <c r="F580" s="31"/>
      <c r="G580" s="31"/>
      <c r="H580" s="31"/>
    </row>
    <row r="581" spans="6:8" ht="12.75" customHeight="1" x14ac:dyDescent="0.2">
      <c r="F581" s="31"/>
      <c r="G581" s="31"/>
      <c r="H581" s="31"/>
    </row>
    <row r="582" spans="6:8" ht="12.75" customHeight="1" x14ac:dyDescent="0.2">
      <c r="F582" s="31"/>
      <c r="G582" s="31"/>
      <c r="H582" s="31"/>
    </row>
    <row r="583" spans="6:8" ht="12.75" customHeight="1" x14ac:dyDescent="0.2">
      <c r="F583" s="31"/>
      <c r="G583" s="31"/>
      <c r="H583" s="31"/>
    </row>
    <row r="584" spans="6:8" ht="12.75" customHeight="1" x14ac:dyDescent="0.2">
      <c r="F584" s="31"/>
      <c r="G584" s="31"/>
      <c r="H584" s="31"/>
    </row>
    <row r="585" spans="6:8" ht="12.75" customHeight="1" x14ac:dyDescent="0.2">
      <c r="F585" s="31"/>
      <c r="G585" s="31"/>
      <c r="H585" s="31"/>
    </row>
    <row r="586" spans="6:8" ht="12.75" customHeight="1" x14ac:dyDescent="0.2">
      <c r="F586" s="31"/>
      <c r="G586" s="31"/>
      <c r="H586" s="31"/>
    </row>
    <row r="587" spans="6:8" ht="12.75" customHeight="1" x14ac:dyDescent="0.2">
      <c r="F587" s="31"/>
      <c r="G587" s="31"/>
      <c r="H587" s="31"/>
    </row>
    <row r="588" spans="6:8" ht="12.75" customHeight="1" x14ac:dyDescent="0.2">
      <c r="F588" s="31"/>
      <c r="G588" s="31"/>
      <c r="H588" s="31"/>
    </row>
    <row r="589" spans="6:8" ht="12.75" customHeight="1" x14ac:dyDescent="0.2">
      <c r="F589" s="31"/>
      <c r="G589" s="31"/>
      <c r="H589" s="31"/>
    </row>
    <row r="590" spans="6:8" ht="12.75" customHeight="1" x14ac:dyDescent="0.2">
      <c r="F590" s="31"/>
      <c r="G590" s="31"/>
      <c r="H590" s="31"/>
    </row>
    <row r="591" spans="6:8" ht="12.75" customHeight="1" x14ac:dyDescent="0.2">
      <c r="F591" s="31"/>
      <c r="G591" s="31"/>
      <c r="H591" s="31"/>
    </row>
    <row r="592" spans="6:8" ht="12.75" customHeight="1" x14ac:dyDescent="0.2">
      <c r="F592" s="31"/>
      <c r="G592" s="31"/>
      <c r="H592" s="31"/>
    </row>
    <row r="593" spans="6:8" ht="12.75" customHeight="1" x14ac:dyDescent="0.2">
      <c r="F593" s="31"/>
      <c r="G593" s="31"/>
      <c r="H593" s="31"/>
    </row>
    <row r="594" spans="6:8" ht="12.75" customHeight="1" x14ac:dyDescent="0.2">
      <c r="F594" s="31"/>
      <c r="G594" s="31"/>
      <c r="H594" s="31"/>
    </row>
    <row r="595" spans="6:8" ht="12.75" customHeight="1" x14ac:dyDescent="0.2">
      <c r="F595" s="31"/>
      <c r="G595" s="31"/>
      <c r="H595" s="31"/>
    </row>
    <row r="596" spans="6:8" ht="12.75" customHeight="1" x14ac:dyDescent="0.2">
      <c r="F596" s="31"/>
      <c r="G596" s="31"/>
      <c r="H596" s="31"/>
    </row>
    <row r="597" spans="6:8" ht="12.75" customHeight="1" x14ac:dyDescent="0.2">
      <c r="F597" s="31"/>
      <c r="G597" s="31"/>
      <c r="H597" s="31"/>
    </row>
    <row r="598" spans="6:8" ht="12.75" customHeight="1" x14ac:dyDescent="0.2">
      <c r="F598" s="31"/>
      <c r="G598" s="31"/>
      <c r="H598" s="31"/>
    </row>
    <row r="599" spans="6:8" ht="12.75" customHeight="1" x14ac:dyDescent="0.2">
      <c r="F599" s="31"/>
      <c r="G599" s="31"/>
      <c r="H599" s="31"/>
    </row>
    <row r="600" spans="6:8" ht="12.75" customHeight="1" x14ac:dyDescent="0.2">
      <c r="F600" s="31"/>
      <c r="G600" s="31"/>
      <c r="H600" s="31"/>
    </row>
    <row r="601" spans="6:8" ht="12.75" customHeight="1" x14ac:dyDescent="0.2">
      <c r="F601" s="31"/>
      <c r="G601" s="31"/>
      <c r="H601" s="31"/>
    </row>
    <row r="602" spans="6:8" ht="12.75" customHeight="1" x14ac:dyDescent="0.2">
      <c r="F602" s="31"/>
      <c r="G602" s="31"/>
      <c r="H602" s="31"/>
    </row>
    <row r="603" spans="6:8" ht="12.75" customHeight="1" x14ac:dyDescent="0.2">
      <c r="F603" s="31"/>
      <c r="G603" s="31"/>
      <c r="H603" s="31"/>
    </row>
    <row r="604" spans="6:8" ht="12.75" customHeight="1" x14ac:dyDescent="0.2">
      <c r="F604" s="31"/>
      <c r="G604" s="31"/>
      <c r="H604" s="31"/>
    </row>
    <row r="605" spans="6:8" ht="12.75" customHeight="1" x14ac:dyDescent="0.2">
      <c r="F605" s="31"/>
      <c r="G605" s="31"/>
      <c r="H605" s="31"/>
    </row>
    <row r="606" spans="6:8" ht="12.75" customHeight="1" x14ac:dyDescent="0.2">
      <c r="F606" s="31"/>
      <c r="G606" s="31"/>
      <c r="H606" s="31"/>
    </row>
    <row r="607" spans="6:8" ht="12.75" customHeight="1" x14ac:dyDescent="0.2">
      <c r="F607" s="31"/>
      <c r="G607" s="31"/>
      <c r="H607" s="31"/>
    </row>
    <row r="608" spans="6:8" ht="12.75" customHeight="1" x14ac:dyDescent="0.2">
      <c r="F608" s="31"/>
      <c r="G608" s="31"/>
      <c r="H608" s="31"/>
    </row>
    <row r="609" spans="6:8" ht="12.75" customHeight="1" x14ac:dyDescent="0.2">
      <c r="F609" s="31"/>
      <c r="G609" s="31"/>
      <c r="H609" s="31"/>
    </row>
    <row r="610" spans="6:8" ht="12.75" customHeight="1" x14ac:dyDescent="0.2">
      <c r="F610" s="31"/>
      <c r="G610" s="31"/>
      <c r="H610" s="31"/>
    </row>
    <row r="611" spans="6:8" ht="12.75" customHeight="1" x14ac:dyDescent="0.2">
      <c r="F611" s="31"/>
      <c r="G611" s="31"/>
      <c r="H611" s="31"/>
    </row>
    <row r="612" spans="6:8" ht="12.75" customHeight="1" x14ac:dyDescent="0.2">
      <c r="F612" s="31"/>
      <c r="G612" s="31"/>
      <c r="H612" s="31"/>
    </row>
    <row r="613" spans="6:8" ht="12.75" customHeight="1" x14ac:dyDescent="0.2">
      <c r="F613" s="31"/>
      <c r="G613" s="31"/>
      <c r="H613" s="31"/>
    </row>
    <row r="614" spans="6:8" ht="12.75" customHeight="1" x14ac:dyDescent="0.2">
      <c r="F614" s="31"/>
      <c r="G614" s="31"/>
      <c r="H614" s="31"/>
    </row>
    <row r="615" spans="6:8" ht="12.75" customHeight="1" x14ac:dyDescent="0.2">
      <c r="F615" s="31"/>
      <c r="G615" s="31"/>
      <c r="H615" s="31"/>
    </row>
    <row r="616" spans="6:8" ht="12.75" customHeight="1" x14ac:dyDescent="0.2">
      <c r="F616" s="31"/>
      <c r="G616" s="31"/>
      <c r="H616" s="31"/>
    </row>
    <row r="617" spans="6:8" ht="12.75" customHeight="1" x14ac:dyDescent="0.2">
      <c r="F617" s="31"/>
      <c r="G617" s="31"/>
      <c r="H617" s="31"/>
    </row>
    <row r="618" spans="6:8" ht="12.75" customHeight="1" x14ac:dyDescent="0.2">
      <c r="F618" s="31"/>
      <c r="G618" s="31"/>
      <c r="H618" s="31"/>
    </row>
    <row r="619" spans="6:8" ht="12.75" customHeight="1" x14ac:dyDescent="0.2">
      <c r="F619" s="31"/>
      <c r="G619" s="31"/>
      <c r="H619" s="31"/>
    </row>
    <row r="620" spans="6:8" ht="12.75" customHeight="1" x14ac:dyDescent="0.2">
      <c r="F620" s="31"/>
      <c r="G620" s="31"/>
      <c r="H620" s="31"/>
    </row>
    <row r="621" spans="6:8" ht="12.75" customHeight="1" x14ac:dyDescent="0.2">
      <c r="F621" s="31"/>
      <c r="G621" s="31"/>
      <c r="H621" s="31"/>
    </row>
    <row r="622" spans="6:8" ht="12.75" customHeight="1" x14ac:dyDescent="0.2">
      <c r="F622" s="31"/>
      <c r="G622" s="31"/>
      <c r="H622" s="31"/>
    </row>
    <row r="623" spans="6:8" ht="12.75" customHeight="1" x14ac:dyDescent="0.2">
      <c r="F623" s="31"/>
      <c r="G623" s="31"/>
      <c r="H623" s="31"/>
    </row>
    <row r="624" spans="6:8" ht="12.75" customHeight="1" x14ac:dyDescent="0.2">
      <c r="F624" s="31"/>
      <c r="G624" s="31"/>
      <c r="H624" s="31"/>
    </row>
    <row r="625" spans="6:8" ht="12.75" customHeight="1" x14ac:dyDescent="0.2">
      <c r="F625" s="31"/>
      <c r="G625" s="31"/>
      <c r="H625" s="31"/>
    </row>
    <row r="626" spans="6:8" ht="12.75" customHeight="1" x14ac:dyDescent="0.2">
      <c r="F626" s="31"/>
      <c r="G626" s="31"/>
      <c r="H626" s="31"/>
    </row>
    <row r="627" spans="6:8" ht="12.75" customHeight="1" x14ac:dyDescent="0.2">
      <c r="F627" s="31"/>
      <c r="G627" s="31"/>
      <c r="H627" s="31"/>
    </row>
    <row r="628" spans="6:8" ht="12.75" customHeight="1" x14ac:dyDescent="0.2">
      <c r="F628" s="31"/>
      <c r="G628" s="31"/>
      <c r="H628" s="31"/>
    </row>
    <row r="629" spans="6:8" ht="12.75" customHeight="1" x14ac:dyDescent="0.2">
      <c r="F629" s="31"/>
      <c r="G629" s="31"/>
      <c r="H629" s="31"/>
    </row>
    <row r="630" spans="6:8" ht="12.75" customHeight="1" x14ac:dyDescent="0.2">
      <c r="F630" s="31"/>
      <c r="G630" s="31"/>
      <c r="H630" s="31"/>
    </row>
    <row r="631" spans="6:8" ht="12.75" customHeight="1" x14ac:dyDescent="0.2">
      <c r="F631" s="31"/>
      <c r="G631" s="31"/>
      <c r="H631" s="31"/>
    </row>
    <row r="632" spans="6:8" ht="12.75" customHeight="1" x14ac:dyDescent="0.2">
      <c r="F632" s="31"/>
      <c r="G632" s="31"/>
      <c r="H632" s="31"/>
    </row>
    <row r="633" spans="6:8" ht="12.75" customHeight="1" x14ac:dyDescent="0.2">
      <c r="F633" s="31"/>
      <c r="G633" s="31"/>
      <c r="H633" s="31"/>
    </row>
    <row r="634" spans="6:8" ht="12.75" customHeight="1" x14ac:dyDescent="0.2">
      <c r="F634" s="31"/>
      <c r="G634" s="31"/>
      <c r="H634" s="31"/>
    </row>
    <row r="635" spans="6:8" ht="12.75" customHeight="1" x14ac:dyDescent="0.2">
      <c r="F635" s="31"/>
      <c r="G635" s="31"/>
      <c r="H635" s="31"/>
    </row>
    <row r="636" spans="6:8" ht="12.75" customHeight="1" x14ac:dyDescent="0.2">
      <c r="F636" s="31"/>
      <c r="G636" s="31"/>
      <c r="H636" s="31"/>
    </row>
    <row r="637" spans="6:8" ht="12.75" customHeight="1" x14ac:dyDescent="0.2">
      <c r="F637" s="31"/>
      <c r="G637" s="31"/>
      <c r="H637" s="31"/>
    </row>
    <row r="638" spans="6:8" ht="12.75" customHeight="1" x14ac:dyDescent="0.2">
      <c r="F638" s="31"/>
      <c r="G638" s="31"/>
      <c r="H638" s="31"/>
    </row>
    <row r="639" spans="6:8" ht="12.75" customHeight="1" x14ac:dyDescent="0.2">
      <c r="F639" s="31"/>
      <c r="G639" s="31"/>
      <c r="H639" s="31"/>
    </row>
    <row r="640" spans="6:8" ht="12.75" customHeight="1" x14ac:dyDescent="0.2">
      <c r="F640" s="31"/>
      <c r="G640" s="31"/>
      <c r="H640" s="31"/>
    </row>
    <row r="641" spans="6:8" ht="12.75" customHeight="1" x14ac:dyDescent="0.2">
      <c r="F641" s="31"/>
      <c r="G641" s="31"/>
      <c r="H641" s="31"/>
    </row>
    <row r="642" spans="6:8" ht="12.75" customHeight="1" x14ac:dyDescent="0.2">
      <c r="F642" s="31"/>
      <c r="G642" s="31"/>
      <c r="H642" s="31"/>
    </row>
    <row r="643" spans="6:8" ht="12.75" customHeight="1" x14ac:dyDescent="0.2">
      <c r="F643" s="31"/>
      <c r="G643" s="31"/>
      <c r="H643" s="31"/>
    </row>
    <row r="644" spans="6:8" ht="12.75" customHeight="1" x14ac:dyDescent="0.2">
      <c r="F644" s="31"/>
      <c r="G644" s="31"/>
      <c r="H644" s="31"/>
    </row>
    <row r="645" spans="6:8" ht="12.75" customHeight="1" x14ac:dyDescent="0.2">
      <c r="F645" s="31"/>
      <c r="G645" s="31"/>
      <c r="H645" s="31"/>
    </row>
    <row r="646" spans="6:8" ht="12.75" customHeight="1" x14ac:dyDescent="0.2">
      <c r="F646" s="31"/>
      <c r="G646" s="31"/>
      <c r="H646" s="31"/>
    </row>
    <row r="647" spans="6:8" ht="12.75" customHeight="1" x14ac:dyDescent="0.2">
      <c r="F647" s="31"/>
      <c r="G647" s="31"/>
      <c r="H647" s="31"/>
    </row>
    <row r="648" spans="6:8" ht="12.75" customHeight="1" x14ac:dyDescent="0.2">
      <c r="F648" s="31"/>
      <c r="G648" s="31"/>
      <c r="H648" s="31"/>
    </row>
    <row r="649" spans="6:8" ht="12.75" customHeight="1" x14ac:dyDescent="0.2">
      <c r="F649" s="31"/>
      <c r="G649" s="31"/>
      <c r="H649" s="31"/>
    </row>
    <row r="650" spans="6:8" ht="12.75" customHeight="1" x14ac:dyDescent="0.2">
      <c r="F650" s="31"/>
      <c r="G650" s="31"/>
      <c r="H650" s="31"/>
    </row>
    <row r="651" spans="6:8" ht="12.75" customHeight="1" x14ac:dyDescent="0.2">
      <c r="F651" s="31"/>
      <c r="G651" s="31"/>
      <c r="H651" s="31"/>
    </row>
    <row r="652" spans="6:8" ht="12.75" customHeight="1" x14ac:dyDescent="0.2">
      <c r="F652" s="31"/>
      <c r="G652" s="31"/>
      <c r="H652" s="31"/>
    </row>
    <row r="653" spans="6:8" ht="12.75" customHeight="1" x14ac:dyDescent="0.2">
      <c r="F653" s="31"/>
      <c r="G653" s="31"/>
      <c r="H653" s="31"/>
    </row>
    <row r="654" spans="6:8" ht="12.75" customHeight="1" x14ac:dyDescent="0.2">
      <c r="F654" s="31"/>
      <c r="G654" s="31"/>
      <c r="H654" s="31"/>
    </row>
    <row r="655" spans="6:8" ht="12.75" customHeight="1" x14ac:dyDescent="0.2">
      <c r="F655" s="31"/>
      <c r="G655" s="31"/>
      <c r="H655" s="31"/>
    </row>
    <row r="656" spans="6:8" ht="12.75" customHeight="1" x14ac:dyDescent="0.2">
      <c r="F656" s="31"/>
      <c r="G656" s="31"/>
      <c r="H656" s="31"/>
    </row>
    <row r="657" spans="6:8" ht="12.75" customHeight="1" x14ac:dyDescent="0.2">
      <c r="F657" s="31"/>
      <c r="G657" s="31"/>
      <c r="H657" s="31"/>
    </row>
    <row r="658" spans="6:8" ht="12.75" customHeight="1" x14ac:dyDescent="0.2">
      <c r="F658" s="31"/>
      <c r="G658" s="31"/>
      <c r="H658" s="31"/>
    </row>
    <row r="659" spans="6:8" ht="12.75" customHeight="1" x14ac:dyDescent="0.2">
      <c r="F659" s="31"/>
      <c r="G659" s="31"/>
      <c r="H659" s="31"/>
    </row>
    <row r="660" spans="6:8" ht="12.75" customHeight="1" x14ac:dyDescent="0.2">
      <c r="F660" s="31"/>
      <c r="G660" s="31"/>
      <c r="H660" s="31"/>
    </row>
    <row r="661" spans="6:8" ht="12.75" customHeight="1" x14ac:dyDescent="0.2">
      <c r="F661" s="31"/>
      <c r="G661" s="31"/>
      <c r="H661" s="31"/>
    </row>
    <row r="662" spans="6:8" ht="12.75" customHeight="1" x14ac:dyDescent="0.2">
      <c r="F662" s="31"/>
      <c r="G662" s="31"/>
      <c r="H662" s="31"/>
    </row>
    <row r="663" spans="6:8" ht="12.75" customHeight="1" x14ac:dyDescent="0.2">
      <c r="F663" s="31"/>
      <c r="G663" s="31"/>
      <c r="H663" s="31"/>
    </row>
    <row r="664" spans="6:8" ht="12.75" customHeight="1" x14ac:dyDescent="0.2">
      <c r="F664" s="31"/>
      <c r="G664" s="31"/>
      <c r="H664" s="31"/>
    </row>
    <row r="665" spans="6:8" ht="12.75" customHeight="1" x14ac:dyDescent="0.2">
      <c r="F665" s="31"/>
      <c r="G665" s="31"/>
      <c r="H665" s="31"/>
    </row>
    <row r="666" spans="6:8" ht="12.75" customHeight="1" x14ac:dyDescent="0.2">
      <c r="F666" s="31"/>
      <c r="G666" s="31"/>
      <c r="H666" s="31"/>
    </row>
    <row r="667" spans="6:8" ht="12.75" customHeight="1" x14ac:dyDescent="0.2">
      <c r="F667" s="31"/>
      <c r="G667" s="31"/>
      <c r="H667" s="31"/>
    </row>
    <row r="668" spans="6:8" ht="12.75" customHeight="1" x14ac:dyDescent="0.2">
      <c r="F668" s="31"/>
      <c r="G668" s="31"/>
      <c r="H668" s="31"/>
    </row>
    <row r="669" spans="6:8" ht="12.75" customHeight="1" x14ac:dyDescent="0.2">
      <c r="F669" s="31"/>
      <c r="G669" s="31"/>
      <c r="H669" s="31"/>
    </row>
    <row r="670" spans="6:8" ht="12.75" customHeight="1" x14ac:dyDescent="0.2">
      <c r="F670" s="31"/>
      <c r="G670" s="31"/>
      <c r="H670" s="31"/>
    </row>
    <row r="671" spans="6:8" ht="12.75" customHeight="1" x14ac:dyDescent="0.2">
      <c r="F671" s="31"/>
      <c r="G671" s="31"/>
      <c r="H671" s="31"/>
    </row>
    <row r="672" spans="6:8" ht="12.75" customHeight="1" x14ac:dyDescent="0.2">
      <c r="F672" s="31"/>
      <c r="G672" s="31"/>
      <c r="H672" s="31"/>
    </row>
    <row r="673" spans="6:8" ht="12.75" customHeight="1" x14ac:dyDescent="0.2">
      <c r="F673" s="31"/>
      <c r="G673" s="31"/>
      <c r="H673" s="31"/>
    </row>
    <row r="674" spans="6:8" ht="12.75" customHeight="1" x14ac:dyDescent="0.2">
      <c r="F674" s="31"/>
      <c r="G674" s="31"/>
      <c r="H674" s="31"/>
    </row>
    <row r="675" spans="6:8" ht="12.75" customHeight="1" x14ac:dyDescent="0.2">
      <c r="F675" s="31"/>
      <c r="G675" s="31"/>
      <c r="H675" s="31"/>
    </row>
    <row r="676" spans="6:8" ht="12.75" customHeight="1" x14ac:dyDescent="0.2">
      <c r="F676" s="31"/>
      <c r="G676" s="31"/>
      <c r="H676" s="31"/>
    </row>
    <row r="677" spans="6:8" ht="12.75" customHeight="1" x14ac:dyDescent="0.2">
      <c r="F677" s="31"/>
      <c r="G677" s="31"/>
      <c r="H677" s="31"/>
    </row>
    <row r="678" spans="6:8" ht="12.75" customHeight="1" x14ac:dyDescent="0.2">
      <c r="F678" s="31"/>
      <c r="G678" s="31"/>
      <c r="H678" s="31"/>
    </row>
    <row r="679" spans="6:8" ht="12.75" customHeight="1" x14ac:dyDescent="0.2">
      <c r="F679" s="31"/>
      <c r="G679" s="31"/>
      <c r="H679" s="31"/>
    </row>
    <row r="680" spans="6:8" ht="12.75" customHeight="1" x14ac:dyDescent="0.2">
      <c r="F680" s="31"/>
      <c r="G680" s="31"/>
      <c r="H680" s="31"/>
    </row>
    <row r="681" spans="6:8" ht="12.75" customHeight="1" x14ac:dyDescent="0.2">
      <c r="F681" s="31"/>
      <c r="G681" s="31"/>
      <c r="H681" s="31"/>
    </row>
    <row r="682" spans="6:8" ht="12.75" customHeight="1" x14ac:dyDescent="0.2">
      <c r="F682" s="31"/>
      <c r="G682" s="31"/>
      <c r="H682" s="31"/>
    </row>
    <row r="683" spans="6:8" ht="12.75" customHeight="1" x14ac:dyDescent="0.2">
      <c r="F683" s="31"/>
      <c r="G683" s="31"/>
      <c r="H683" s="31"/>
    </row>
    <row r="684" spans="6:8" ht="12.75" customHeight="1" x14ac:dyDescent="0.2">
      <c r="F684" s="31"/>
      <c r="G684" s="31"/>
      <c r="H684" s="31"/>
    </row>
    <row r="685" spans="6:8" ht="12.75" customHeight="1" x14ac:dyDescent="0.2">
      <c r="F685" s="31"/>
      <c r="G685" s="31"/>
      <c r="H685" s="31"/>
    </row>
    <row r="686" spans="6:8" ht="12.75" customHeight="1" x14ac:dyDescent="0.2">
      <c r="F686" s="31"/>
      <c r="G686" s="31"/>
      <c r="H686" s="31"/>
    </row>
    <row r="687" spans="6:8" ht="12.75" customHeight="1" x14ac:dyDescent="0.2">
      <c r="F687" s="31"/>
      <c r="G687" s="31"/>
      <c r="H687" s="31"/>
    </row>
    <row r="688" spans="6:8" ht="12.75" customHeight="1" x14ac:dyDescent="0.2">
      <c r="F688" s="31"/>
      <c r="G688" s="31"/>
      <c r="H688" s="31"/>
    </row>
    <row r="689" spans="6:8" ht="12.75" customHeight="1" x14ac:dyDescent="0.2">
      <c r="F689" s="31"/>
      <c r="G689" s="31"/>
      <c r="H689" s="31"/>
    </row>
    <row r="690" spans="6:8" ht="12.75" customHeight="1" x14ac:dyDescent="0.2">
      <c r="F690" s="31"/>
      <c r="G690" s="31"/>
      <c r="H690" s="31"/>
    </row>
    <row r="691" spans="6:8" ht="12.75" customHeight="1" x14ac:dyDescent="0.2">
      <c r="F691" s="31"/>
      <c r="G691" s="31"/>
      <c r="H691" s="31"/>
    </row>
    <row r="692" spans="6:8" ht="12.75" customHeight="1" x14ac:dyDescent="0.2">
      <c r="F692" s="31"/>
      <c r="G692" s="31"/>
      <c r="H692" s="31"/>
    </row>
    <row r="693" spans="6:8" ht="12.75" customHeight="1" x14ac:dyDescent="0.2">
      <c r="F693" s="31"/>
      <c r="G693" s="31"/>
      <c r="H693" s="31"/>
    </row>
    <row r="694" spans="6:8" ht="12.75" customHeight="1" x14ac:dyDescent="0.2">
      <c r="F694" s="31"/>
      <c r="G694" s="31"/>
      <c r="H694" s="31"/>
    </row>
    <row r="695" spans="6:8" ht="12.75" customHeight="1" x14ac:dyDescent="0.2">
      <c r="F695" s="31"/>
      <c r="G695" s="31"/>
      <c r="H695" s="31"/>
    </row>
    <row r="696" spans="6:8" ht="12.75" customHeight="1" x14ac:dyDescent="0.2">
      <c r="F696" s="31"/>
      <c r="G696" s="31"/>
      <c r="H696" s="31"/>
    </row>
    <row r="697" spans="6:8" ht="12.75" customHeight="1" x14ac:dyDescent="0.2">
      <c r="F697" s="31"/>
      <c r="G697" s="31"/>
      <c r="H697" s="31"/>
    </row>
    <row r="698" spans="6:8" ht="12.75" customHeight="1" x14ac:dyDescent="0.2">
      <c r="F698" s="31"/>
      <c r="G698" s="31"/>
      <c r="H698" s="31"/>
    </row>
    <row r="699" spans="6:8" ht="12.75" customHeight="1" x14ac:dyDescent="0.2">
      <c r="F699" s="31"/>
      <c r="G699" s="31"/>
      <c r="H699" s="31"/>
    </row>
    <row r="700" spans="6:8" ht="12.75" customHeight="1" x14ac:dyDescent="0.2">
      <c r="F700" s="31"/>
      <c r="G700" s="31"/>
      <c r="H700" s="31"/>
    </row>
    <row r="701" spans="6:8" ht="12.75" customHeight="1" x14ac:dyDescent="0.2">
      <c r="F701" s="31"/>
      <c r="G701" s="31"/>
      <c r="H701" s="31"/>
    </row>
    <row r="702" spans="6:8" ht="12.75" customHeight="1" x14ac:dyDescent="0.2">
      <c r="F702" s="31"/>
      <c r="G702" s="31"/>
      <c r="H702" s="31"/>
    </row>
    <row r="703" spans="6:8" ht="12.75" customHeight="1" x14ac:dyDescent="0.2">
      <c r="F703" s="31"/>
      <c r="G703" s="31"/>
      <c r="H703" s="31"/>
    </row>
    <row r="704" spans="6:8" ht="12.75" customHeight="1" x14ac:dyDescent="0.2">
      <c r="F704" s="31"/>
      <c r="G704" s="31"/>
      <c r="H704" s="31"/>
    </row>
    <row r="705" spans="6:8" ht="12.75" customHeight="1" x14ac:dyDescent="0.2">
      <c r="F705" s="31"/>
      <c r="G705" s="31"/>
      <c r="H705" s="31"/>
    </row>
    <row r="706" spans="6:8" ht="12.75" customHeight="1" x14ac:dyDescent="0.2">
      <c r="F706" s="31"/>
      <c r="G706" s="31"/>
      <c r="H706" s="31"/>
    </row>
    <row r="707" spans="6:8" ht="12.75" customHeight="1" x14ac:dyDescent="0.2">
      <c r="F707" s="31"/>
      <c r="G707" s="31"/>
      <c r="H707" s="31"/>
    </row>
    <row r="708" spans="6:8" ht="12.75" customHeight="1" x14ac:dyDescent="0.2">
      <c r="F708" s="31"/>
      <c r="G708" s="31"/>
      <c r="H708" s="31"/>
    </row>
    <row r="709" spans="6:8" ht="12.75" customHeight="1" x14ac:dyDescent="0.2">
      <c r="F709" s="31"/>
      <c r="G709" s="31"/>
      <c r="H709" s="31"/>
    </row>
    <row r="710" spans="6:8" ht="12.75" customHeight="1" x14ac:dyDescent="0.2">
      <c r="F710" s="31"/>
      <c r="G710" s="31"/>
      <c r="H710" s="31"/>
    </row>
    <row r="711" spans="6:8" ht="12.75" customHeight="1" x14ac:dyDescent="0.2">
      <c r="F711" s="31"/>
      <c r="G711" s="31"/>
      <c r="H711" s="31"/>
    </row>
    <row r="712" spans="6:8" ht="12.75" customHeight="1" x14ac:dyDescent="0.2">
      <c r="F712" s="31"/>
      <c r="G712" s="31"/>
      <c r="H712" s="31"/>
    </row>
    <row r="713" spans="6:8" ht="12.75" customHeight="1" x14ac:dyDescent="0.2">
      <c r="F713" s="31"/>
      <c r="G713" s="31"/>
      <c r="H713" s="31"/>
    </row>
    <row r="714" spans="6:8" ht="12.75" customHeight="1" x14ac:dyDescent="0.2">
      <c r="F714" s="31"/>
      <c r="G714" s="31"/>
      <c r="H714" s="31"/>
    </row>
    <row r="715" spans="6:8" ht="12.75" customHeight="1" x14ac:dyDescent="0.2">
      <c r="F715" s="31"/>
      <c r="G715" s="31"/>
      <c r="H715" s="31"/>
    </row>
    <row r="716" spans="6:8" ht="12.75" customHeight="1" x14ac:dyDescent="0.2">
      <c r="F716" s="31"/>
      <c r="G716" s="31"/>
      <c r="H716" s="31"/>
    </row>
    <row r="717" spans="6:8" ht="12.75" customHeight="1" x14ac:dyDescent="0.2">
      <c r="F717" s="31"/>
      <c r="G717" s="31"/>
      <c r="H717" s="31"/>
    </row>
    <row r="718" spans="6:8" ht="12.75" customHeight="1" x14ac:dyDescent="0.2">
      <c r="F718" s="31"/>
      <c r="G718" s="31"/>
      <c r="H718" s="31"/>
    </row>
    <row r="719" spans="6:8" ht="12.75" customHeight="1" x14ac:dyDescent="0.2">
      <c r="F719" s="31"/>
      <c r="G719" s="31"/>
      <c r="H719" s="31"/>
    </row>
    <row r="720" spans="6:8" ht="12.75" customHeight="1" x14ac:dyDescent="0.2">
      <c r="F720" s="31"/>
      <c r="G720" s="31"/>
      <c r="H720" s="31"/>
    </row>
    <row r="721" spans="6:8" ht="12.75" customHeight="1" x14ac:dyDescent="0.2">
      <c r="F721" s="31"/>
      <c r="G721" s="31"/>
      <c r="H721" s="31"/>
    </row>
    <row r="722" spans="6:8" ht="12.75" customHeight="1" x14ac:dyDescent="0.2">
      <c r="F722" s="31"/>
      <c r="G722" s="31"/>
      <c r="H722" s="31"/>
    </row>
    <row r="723" spans="6:8" ht="12.75" customHeight="1" x14ac:dyDescent="0.2">
      <c r="F723" s="31"/>
      <c r="G723" s="31"/>
      <c r="H723" s="31"/>
    </row>
    <row r="724" spans="6:8" ht="12.75" customHeight="1" x14ac:dyDescent="0.2">
      <c r="F724" s="31"/>
      <c r="G724" s="31"/>
      <c r="H724" s="31"/>
    </row>
    <row r="725" spans="6:8" ht="12.75" customHeight="1" x14ac:dyDescent="0.2">
      <c r="F725" s="31"/>
      <c r="G725" s="31"/>
      <c r="H725" s="31"/>
    </row>
    <row r="726" spans="6:8" ht="12.75" customHeight="1" x14ac:dyDescent="0.2">
      <c r="F726" s="31"/>
      <c r="G726" s="31"/>
      <c r="H726" s="31"/>
    </row>
    <row r="727" spans="6:8" ht="12.75" customHeight="1" x14ac:dyDescent="0.2">
      <c r="F727" s="31"/>
      <c r="G727" s="31"/>
      <c r="H727" s="31"/>
    </row>
    <row r="728" spans="6:8" ht="12.75" customHeight="1" x14ac:dyDescent="0.2">
      <c r="F728" s="31"/>
      <c r="G728" s="31"/>
      <c r="H728" s="31"/>
    </row>
    <row r="729" spans="6:8" ht="12.75" customHeight="1" x14ac:dyDescent="0.2">
      <c r="F729" s="31"/>
      <c r="G729" s="31"/>
      <c r="H729" s="31"/>
    </row>
    <row r="730" spans="6:8" ht="12.75" customHeight="1" x14ac:dyDescent="0.2">
      <c r="F730" s="31"/>
      <c r="G730" s="31"/>
      <c r="H730" s="31"/>
    </row>
    <row r="731" spans="6:8" ht="12.75" customHeight="1" x14ac:dyDescent="0.2">
      <c r="F731" s="31"/>
      <c r="G731" s="31"/>
      <c r="H731" s="31"/>
    </row>
    <row r="732" spans="6:8" ht="12.75" customHeight="1" x14ac:dyDescent="0.2">
      <c r="F732" s="31"/>
      <c r="G732" s="31"/>
      <c r="H732" s="31"/>
    </row>
    <row r="733" spans="6:8" ht="12.75" customHeight="1" x14ac:dyDescent="0.2">
      <c r="F733" s="31"/>
      <c r="G733" s="31"/>
      <c r="H733" s="31"/>
    </row>
    <row r="734" spans="6:8" ht="12.75" customHeight="1" x14ac:dyDescent="0.2">
      <c r="F734" s="31"/>
      <c r="G734" s="31"/>
      <c r="H734" s="31"/>
    </row>
    <row r="735" spans="6:8" ht="12.75" customHeight="1" x14ac:dyDescent="0.2">
      <c r="F735" s="31"/>
      <c r="G735" s="31"/>
      <c r="H735" s="31"/>
    </row>
    <row r="736" spans="6:8" ht="12.75" customHeight="1" x14ac:dyDescent="0.2">
      <c r="F736" s="31"/>
      <c r="G736" s="31"/>
      <c r="H736" s="31"/>
    </row>
    <row r="737" spans="6:8" ht="12.75" customHeight="1" x14ac:dyDescent="0.2">
      <c r="F737" s="31"/>
      <c r="G737" s="31"/>
      <c r="H737" s="31"/>
    </row>
    <row r="738" spans="6:8" ht="12.75" customHeight="1" x14ac:dyDescent="0.2">
      <c r="F738" s="31"/>
      <c r="G738" s="31"/>
      <c r="H738" s="31"/>
    </row>
    <row r="739" spans="6:8" ht="12.75" customHeight="1" x14ac:dyDescent="0.2">
      <c r="F739" s="31"/>
      <c r="G739" s="31"/>
      <c r="H739" s="31"/>
    </row>
    <row r="740" spans="6:8" ht="12.75" customHeight="1" x14ac:dyDescent="0.2">
      <c r="F740" s="31"/>
      <c r="G740" s="31"/>
      <c r="H740" s="31"/>
    </row>
    <row r="741" spans="6:8" ht="12.75" customHeight="1" x14ac:dyDescent="0.2">
      <c r="F741" s="31"/>
      <c r="G741" s="31"/>
      <c r="H741" s="31"/>
    </row>
    <row r="742" spans="6:8" ht="12.75" customHeight="1" x14ac:dyDescent="0.2">
      <c r="F742" s="31"/>
      <c r="G742" s="31"/>
      <c r="H742" s="31"/>
    </row>
    <row r="743" spans="6:8" ht="12.75" customHeight="1" x14ac:dyDescent="0.2">
      <c r="F743" s="31"/>
      <c r="G743" s="31"/>
      <c r="H743" s="31"/>
    </row>
    <row r="744" spans="6:8" ht="12.75" customHeight="1" x14ac:dyDescent="0.2">
      <c r="F744" s="31"/>
      <c r="G744" s="31"/>
      <c r="H744" s="31"/>
    </row>
    <row r="745" spans="6:8" ht="12.75" customHeight="1" x14ac:dyDescent="0.2">
      <c r="F745" s="31"/>
      <c r="G745" s="31"/>
      <c r="H745" s="31"/>
    </row>
    <row r="746" spans="6:8" ht="12.75" customHeight="1" x14ac:dyDescent="0.2">
      <c r="F746" s="31"/>
      <c r="G746" s="31"/>
      <c r="H746" s="31"/>
    </row>
    <row r="747" spans="6:8" ht="12.75" customHeight="1" x14ac:dyDescent="0.2">
      <c r="F747" s="31"/>
      <c r="G747" s="31"/>
      <c r="H747" s="31"/>
    </row>
    <row r="748" spans="6:8" ht="12.75" customHeight="1" x14ac:dyDescent="0.2">
      <c r="F748" s="31"/>
      <c r="G748" s="31"/>
      <c r="H748" s="31"/>
    </row>
    <row r="749" spans="6:8" ht="12.75" customHeight="1" x14ac:dyDescent="0.2">
      <c r="F749" s="31"/>
      <c r="G749" s="31"/>
      <c r="H749" s="31"/>
    </row>
    <row r="750" spans="6:8" ht="12.75" customHeight="1" x14ac:dyDescent="0.2">
      <c r="F750" s="31"/>
      <c r="G750" s="31"/>
      <c r="H750" s="31"/>
    </row>
    <row r="751" spans="6:8" ht="12.75" customHeight="1" x14ac:dyDescent="0.2">
      <c r="F751" s="31"/>
      <c r="G751" s="31"/>
      <c r="H751" s="31"/>
    </row>
    <row r="752" spans="6:8" ht="12.75" customHeight="1" x14ac:dyDescent="0.2">
      <c r="F752" s="31"/>
      <c r="G752" s="31"/>
      <c r="H752" s="31"/>
    </row>
    <row r="753" spans="6:8" ht="12.75" customHeight="1" x14ac:dyDescent="0.2">
      <c r="F753" s="31"/>
      <c r="G753" s="31"/>
      <c r="H753" s="31"/>
    </row>
    <row r="754" spans="6:8" ht="12.75" customHeight="1" x14ac:dyDescent="0.2">
      <c r="F754" s="31"/>
      <c r="G754" s="31"/>
      <c r="H754" s="31"/>
    </row>
    <row r="755" spans="6:8" ht="12.75" customHeight="1" x14ac:dyDescent="0.2">
      <c r="F755" s="31"/>
      <c r="G755" s="31"/>
      <c r="H755" s="31"/>
    </row>
    <row r="756" spans="6:8" ht="12.75" customHeight="1" x14ac:dyDescent="0.2">
      <c r="F756" s="31"/>
      <c r="G756" s="31"/>
      <c r="H756" s="31"/>
    </row>
    <row r="757" spans="6:8" ht="12.75" customHeight="1" x14ac:dyDescent="0.2">
      <c r="F757" s="31"/>
      <c r="G757" s="31"/>
      <c r="H757" s="31"/>
    </row>
    <row r="758" spans="6:8" ht="12.75" customHeight="1" x14ac:dyDescent="0.2">
      <c r="F758" s="31"/>
      <c r="G758" s="31"/>
      <c r="H758" s="31"/>
    </row>
    <row r="759" spans="6:8" ht="12.75" customHeight="1" x14ac:dyDescent="0.2">
      <c r="F759" s="31"/>
      <c r="G759" s="31"/>
      <c r="H759" s="31"/>
    </row>
    <row r="760" spans="6:8" ht="12.75" customHeight="1" x14ac:dyDescent="0.2">
      <c r="F760" s="31"/>
      <c r="G760" s="31"/>
      <c r="H760" s="31"/>
    </row>
    <row r="761" spans="6:8" ht="12.75" customHeight="1" x14ac:dyDescent="0.2">
      <c r="F761" s="31"/>
      <c r="G761" s="31"/>
      <c r="H761" s="31"/>
    </row>
    <row r="762" spans="6:8" ht="12.75" customHeight="1" x14ac:dyDescent="0.2">
      <c r="F762" s="31"/>
      <c r="G762" s="31"/>
      <c r="H762" s="31"/>
    </row>
    <row r="763" spans="6:8" ht="12.75" customHeight="1" x14ac:dyDescent="0.2">
      <c r="F763" s="31"/>
      <c r="G763" s="31"/>
      <c r="H763" s="31"/>
    </row>
    <row r="764" spans="6:8" ht="12.75" customHeight="1" x14ac:dyDescent="0.2">
      <c r="F764" s="31"/>
      <c r="G764" s="31"/>
      <c r="H764" s="31"/>
    </row>
    <row r="765" spans="6:8" ht="12.75" customHeight="1" x14ac:dyDescent="0.2">
      <c r="F765" s="31"/>
      <c r="G765" s="31"/>
      <c r="H765" s="31"/>
    </row>
    <row r="766" spans="6:8" ht="12.75" customHeight="1" x14ac:dyDescent="0.2">
      <c r="F766" s="31"/>
      <c r="G766" s="31"/>
      <c r="H766" s="31"/>
    </row>
    <row r="767" spans="6:8" ht="12.75" customHeight="1" x14ac:dyDescent="0.2">
      <c r="F767" s="31"/>
      <c r="G767" s="31"/>
      <c r="H767" s="31"/>
    </row>
    <row r="768" spans="6:8" ht="12.75" customHeight="1" x14ac:dyDescent="0.2">
      <c r="F768" s="31"/>
      <c r="G768" s="31"/>
      <c r="H768" s="31"/>
    </row>
    <row r="769" spans="6:8" ht="12.75" customHeight="1" x14ac:dyDescent="0.2">
      <c r="F769" s="31"/>
      <c r="G769" s="31"/>
      <c r="H769" s="31"/>
    </row>
    <row r="770" spans="6:8" ht="12.75" customHeight="1" x14ac:dyDescent="0.2">
      <c r="F770" s="31"/>
      <c r="G770" s="31"/>
      <c r="H770" s="31"/>
    </row>
    <row r="771" spans="6:8" ht="12.75" customHeight="1" x14ac:dyDescent="0.2">
      <c r="F771" s="31"/>
      <c r="G771" s="31"/>
      <c r="H771" s="31"/>
    </row>
    <row r="772" spans="6:8" ht="12.75" customHeight="1" x14ac:dyDescent="0.2">
      <c r="F772" s="31"/>
      <c r="G772" s="31"/>
      <c r="H772" s="31"/>
    </row>
    <row r="773" spans="6:8" ht="12.75" customHeight="1" x14ac:dyDescent="0.2">
      <c r="F773" s="31"/>
      <c r="G773" s="31"/>
      <c r="H773" s="31"/>
    </row>
    <row r="774" spans="6:8" ht="12.75" customHeight="1" x14ac:dyDescent="0.2">
      <c r="F774" s="31"/>
      <c r="G774" s="31"/>
      <c r="H774" s="31"/>
    </row>
    <row r="775" spans="6:8" ht="12.75" customHeight="1" x14ac:dyDescent="0.2">
      <c r="F775" s="31"/>
      <c r="G775" s="31"/>
      <c r="H775" s="31"/>
    </row>
    <row r="776" spans="6:8" ht="12.75" customHeight="1" x14ac:dyDescent="0.2">
      <c r="F776" s="31"/>
      <c r="G776" s="31"/>
      <c r="H776" s="31"/>
    </row>
    <row r="777" spans="6:8" ht="12.75" customHeight="1" x14ac:dyDescent="0.2">
      <c r="F777" s="31"/>
      <c r="G777" s="31"/>
      <c r="H777" s="31"/>
    </row>
    <row r="778" spans="6:8" ht="12.75" customHeight="1" x14ac:dyDescent="0.2">
      <c r="F778" s="31"/>
      <c r="G778" s="31"/>
      <c r="H778" s="31"/>
    </row>
    <row r="779" spans="6:8" ht="12.75" customHeight="1" x14ac:dyDescent="0.2">
      <c r="F779" s="31"/>
      <c r="G779" s="31"/>
      <c r="H779" s="31"/>
    </row>
    <row r="780" spans="6:8" ht="12.75" customHeight="1" x14ac:dyDescent="0.2">
      <c r="F780" s="31"/>
      <c r="G780" s="31"/>
      <c r="H780" s="31"/>
    </row>
    <row r="781" spans="6:8" ht="12.75" customHeight="1" x14ac:dyDescent="0.2">
      <c r="F781" s="31"/>
      <c r="G781" s="31"/>
      <c r="H781" s="31"/>
    </row>
    <row r="782" spans="6:8" ht="12.75" customHeight="1" x14ac:dyDescent="0.2">
      <c r="F782" s="31"/>
      <c r="G782" s="31"/>
      <c r="H782" s="31"/>
    </row>
    <row r="783" spans="6:8" ht="12.75" customHeight="1" x14ac:dyDescent="0.2">
      <c r="F783" s="31"/>
      <c r="G783" s="31"/>
      <c r="H783" s="31"/>
    </row>
    <row r="784" spans="6:8" ht="12.75" customHeight="1" x14ac:dyDescent="0.2">
      <c r="F784" s="31"/>
      <c r="G784" s="31"/>
      <c r="H784" s="31"/>
    </row>
    <row r="785" spans="6:8" ht="12.75" customHeight="1" x14ac:dyDescent="0.2">
      <c r="F785" s="31"/>
      <c r="G785" s="31"/>
      <c r="H785" s="31"/>
    </row>
    <row r="786" spans="6:8" ht="12.75" customHeight="1" x14ac:dyDescent="0.2">
      <c r="F786" s="31"/>
      <c r="G786" s="31"/>
      <c r="H786" s="31"/>
    </row>
    <row r="787" spans="6:8" ht="12.75" customHeight="1" x14ac:dyDescent="0.2">
      <c r="F787" s="31"/>
      <c r="G787" s="31"/>
      <c r="H787" s="31"/>
    </row>
    <row r="788" spans="6:8" ht="12.75" customHeight="1" x14ac:dyDescent="0.2">
      <c r="F788" s="31"/>
      <c r="G788" s="31"/>
      <c r="H788" s="31"/>
    </row>
    <row r="789" spans="6:8" ht="12.75" customHeight="1" x14ac:dyDescent="0.2">
      <c r="F789" s="31"/>
      <c r="G789" s="31"/>
      <c r="H789" s="31"/>
    </row>
    <row r="790" spans="6:8" ht="12.75" customHeight="1" x14ac:dyDescent="0.2">
      <c r="F790" s="31"/>
      <c r="G790" s="31"/>
      <c r="H790" s="31"/>
    </row>
    <row r="791" spans="6:8" ht="12.75" customHeight="1" x14ac:dyDescent="0.2">
      <c r="F791" s="31"/>
      <c r="G791" s="31"/>
      <c r="H791" s="31"/>
    </row>
    <row r="792" spans="6:8" ht="12.75" customHeight="1" x14ac:dyDescent="0.2">
      <c r="F792" s="31"/>
      <c r="G792" s="31"/>
      <c r="H792" s="31"/>
    </row>
    <row r="793" spans="6:8" ht="12.75" customHeight="1" x14ac:dyDescent="0.2">
      <c r="F793" s="31"/>
      <c r="G793" s="31"/>
      <c r="H793" s="31"/>
    </row>
    <row r="794" spans="6:8" ht="12.75" customHeight="1" x14ac:dyDescent="0.2">
      <c r="F794" s="31"/>
      <c r="G794" s="31"/>
      <c r="H794" s="31"/>
    </row>
    <row r="795" spans="6:8" ht="12.75" customHeight="1" x14ac:dyDescent="0.2">
      <c r="F795" s="31"/>
      <c r="G795" s="31"/>
      <c r="H795" s="31"/>
    </row>
    <row r="796" spans="6:8" ht="12.75" customHeight="1" x14ac:dyDescent="0.2">
      <c r="F796" s="31"/>
      <c r="G796" s="31"/>
      <c r="H796" s="31"/>
    </row>
    <row r="797" spans="6:8" ht="12.75" customHeight="1" x14ac:dyDescent="0.2">
      <c r="F797" s="31"/>
      <c r="G797" s="31"/>
      <c r="H797" s="31"/>
    </row>
    <row r="798" spans="6:8" ht="12.75" customHeight="1" x14ac:dyDescent="0.2">
      <c r="F798" s="31"/>
      <c r="G798" s="31"/>
      <c r="H798" s="31"/>
    </row>
    <row r="799" spans="6:8" ht="12.75" customHeight="1" x14ac:dyDescent="0.2">
      <c r="F799" s="31"/>
      <c r="G799" s="31"/>
      <c r="H799" s="31"/>
    </row>
    <row r="800" spans="6:8" ht="12.75" customHeight="1" x14ac:dyDescent="0.2">
      <c r="F800" s="31"/>
      <c r="G800" s="31"/>
      <c r="H800" s="31"/>
    </row>
    <row r="801" spans="6:8" ht="12.75" customHeight="1" x14ac:dyDescent="0.2">
      <c r="F801" s="31"/>
      <c r="G801" s="31"/>
      <c r="H801" s="31"/>
    </row>
    <row r="802" spans="6:8" ht="12.75" customHeight="1" x14ac:dyDescent="0.2">
      <c r="F802" s="31"/>
      <c r="G802" s="31"/>
      <c r="H802" s="31"/>
    </row>
    <row r="803" spans="6:8" ht="12.75" customHeight="1" x14ac:dyDescent="0.2">
      <c r="F803" s="31"/>
      <c r="G803" s="31"/>
      <c r="H803" s="31"/>
    </row>
    <row r="804" spans="6:8" ht="12.75" customHeight="1" x14ac:dyDescent="0.2">
      <c r="F804" s="31"/>
      <c r="G804" s="31"/>
      <c r="H804" s="31"/>
    </row>
    <row r="805" spans="6:8" ht="12.75" customHeight="1" x14ac:dyDescent="0.2">
      <c r="F805" s="31"/>
      <c r="G805" s="31"/>
      <c r="H805" s="31"/>
    </row>
    <row r="806" spans="6:8" ht="12.75" customHeight="1" x14ac:dyDescent="0.2">
      <c r="F806" s="31"/>
      <c r="G806" s="31"/>
      <c r="H806" s="31"/>
    </row>
    <row r="807" spans="6:8" ht="12.75" customHeight="1" x14ac:dyDescent="0.2">
      <c r="F807" s="31"/>
      <c r="G807" s="31"/>
      <c r="H807" s="31"/>
    </row>
    <row r="808" spans="6:8" ht="12.75" customHeight="1" x14ac:dyDescent="0.2">
      <c r="F808" s="31"/>
      <c r="G808" s="31"/>
      <c r="H808" s="31"/>
    </row>
    <row r="809" spans="6:8" ht="12.75" customHeight="1" x14ac:dyDescent="0.2">
      <c r="F809" s="31"/>
      <c r="G809" s="31"/>
      <c r="H809" s="31"/>
    </row>
    <row r="810" spans="6:8" ht="12.75" customHeight="1" x14ac:dyDescent="0.2">
      <c r="F810" s="31"/>
      <c r="G810" s="31"/>
      <c r="H810" s="31"/>
    </row>
    <row r="811" spans="6:8" ht="12.75" customHeight="1" x14ac:dyDescent="0.2">
      <c r="F811" s="31"/>
      <c r="G811" s="31"/>
      <c r="H811" s="31"/>
    </row>
    <row r="812" spans="6:8" ht="12.75" customHeight="1" x14ac:dyDescent="0.2">
      <c r="F812" s="31"/>
      <c r="G812" s="31"/>
      <c r="H812" s="31"/>
    </row>
    <row r="813" spans="6:8" ht="12.75" customHeight="1" x14ac:dyDescent="0.2"/>
    <row r="814" spans="6:8" ht="12.75" customHeight="1" x14ac:dyDescent="0.2"/>
    <row r="815" spans="6:8" ht="12.75" customHeight="1" x14ac:dyDescent="0.2"/>
    <row r="816" spans="6:8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dataValidations count="1">
    <dataValidation type="list" allowBlank="1" showErrorMessage="1" sqref="F1" xr:uid="{00000000-0002-0000-0C00-000001000000}">
      <formula1>Years</formula1>
    </dataValidation>
  </dataValidations>
  <pageMargins left="0.75" right="0.75" top="1" bottom="1" header="0" footer="0"/>
  <pageSetup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77FD2-C429-4464-9FBF-C008C2AF33D2}">
  <sheetPr codeName="Sheet20"/>
  <dimension ref="A1:L5"/>
  <sheetViews>
    <sheetView workbookViewId="0"/>
  </sheetViews>
  <sheetFormatPr defaultRowHeight="12.75" x14ac:dyDescent="0.2"/>
  <cols>
    <col min="1" max="4" width="10.7109375" customWidth="1"/>
    <col min="5" max="5" width="30.7109375" customWidth="1"/>
    <col min="6" max="9" width="14.7109375" customWidth="1"/>
    <col min="12" max="12" width="15.7109375" customWidth="1"/>
  </cols>
  <sheetData>
    <row r="1" spans="1:12" x14ac:dyDescent="0.2">
      <c r="D1" t="s">
        <v>107</v>
      </c>
      <c r="E1" t="s">
        <v>722</v>
      </c>
      <c r="G1" t="s">
        <v>104</v>
      </c>
    </row>
    <row r="2" spans="1:12" x14ac:dyDescent="0.2">
      <c r="D2" t="s">
        <v>114</v>
      </c>
      <c r="E2" t="s">
        <v>723</v>
      </c>
      <c r="G2">
        <v>3</v>
      </c>
      <c r="I2" t="s">
        <v>41</v>
      </c>
      <c r="J2" t="s">
        <v>712</v>
      </c>
      <c r="K2" t="s">
        <v>50</v>
      </c>
      <c r="L2" t="s">
        <v>704</v>
      </c>
    </row>
    <row r="3" spans="1:12" x14ac:dyDescent="0.2">
      <c r="A3">
        <f>COUNTIF(A5:A65347, "&lt;&gt;")</f>
        <v>1</v>
      </c>
      <c r="B3">
        <f>MAX(B5:B852)</f>
        <v>2024</v>
      </c>
      <c r="D3" s="89">
        <f>INDEX(D5:D65346, A3)</f>
        <v>45633</v>
      </c>
      <c r="G3" t="s">
        <v>40</v>
      </c>
      <c r="H3" s="69">
        <f>INDEX(H5:H65343, A3)</f>
        <v>0</v>
      </c>
      <c r="I3" s="89">
        <v>45633</v>
      </c>
      <c r="J3">
        <v>3</v>
      </c>
      <c r="K3" s="69">
        <v>20</v>
      </c>
      <c r="L3" s="69">
        <v>1550</v>
      </c>
    </row>
    <row r="4" spans="1:12" x14ac:dyDescent="0.2">
      <c r="A4" s="90" t="s">
        <v>42</v>
      </c>
      <c r="B4" s="90" t="s">
        <v>10</v>
      </c>
      <c r="C4" s="90" t="s">
        <v>54</v>
      </c>
      <c r="D4" s="90" t="s">
        <v>43</v>
      </c>
      <c r="E4" s="90" t="s">
        <v>44</v>
      </c>
      <c r="F4" s="90" t="s">
        <v>45</v>
      </c>
      <c r="G4" s="90" t="s">
        <v>46</v>
      </c>
      <c r="H4" s="90" t="s">
        <v>47</v>
      </c>
      <c r="I4" s="90" t="s">
        <v>676</v>
      </c>
    </row>
    <row r="5" spans="1:12" x14ac:dyDescent="0.2">
      <c r="A5">
        <v>12</v>
      </c>
      <c r="B5">
        <v>2024</v>
      </c>
      <c r="C5" t="str">
        <f>IFERROR("Late Fee "&amp;FIND("Late Fee",E5),IFERROR("Internet "&amp;FIND("Internet",E5),IFERROR("Utilities "&amp;FIND("Utilities",E5),IFERROR("Rent: "&amp;FIND("Rent",E5),IFERROR("Priv Tax: "&amp;FIND("Tax",E5),IFERROR("Income: "&amp;FIND("Payment",E5,1),""))))))</f>
        <v/>
      </c>
      <c r="D5" s="91">
        <v>45633</v>
      </c>
      <c r="E5" t="s">
        <v>686</v>
      </c>
      <c r="F5" s="69">
        <v>0</v>
      </c>
      <c r="G5" s="69">
        <v>0</v>
      </c>
      <c r="H5" s="69">
        <f xml:space="preserve"> G5 - F5</f>
        <v>0</v>
      </c>
      <c r="I5">
        <v>3772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DFA59-5BEF-4CA4-A6C4-A3DFF209E437}">
  <sheetPr codeName="Sheet21"/>
  <dimension ref="A1:L5"/>
  <sheetViews>
    <sheetView tabSelected="1" workbookViewId="0"/>
  </sheetViews>
  <sheetFormatPr defaultRowHeight="12.75" x14ac:dyDescent="0.2"/>
  <cols>
    <col min="1" max="4" width="10.7109375" customWidth="1"/>
    <col min="5" max="5" width="30.7109375" customWidth="1"/>
    <col min="6" max="9" width="14.7109375" customWidth="1"/>
    <col min="12" max="12" width="15.7109375" customWidth="1"/>
  </cols>
  <sheetData>
    <row r="1" spans="1:12" x14ac:dyDescent="0.2">
      <c r="D1" t="s">
        <v>107</v>
      </c>
      <c r="E1" t="s">
        <v>724</v>
      </c>
      <c r="G1" t="s">
        <v>104</v>
      </c>
    </row>
    <row r="2" spans="1:12" x14ac:dyDescent="0.2">
      <c r="D2" t="s">
        <v>114</v>
      </c>
      <c r="E2" t="s">
        <v>725</v>
      </c>
      <c r="G2">
        <v>3</v>
      </c>
      <c r="I2" t="s">
        <v>41</v>
      </c>
      <c r="J2" t="s">
        <v>712</v>
      </c>
      <c r="K2" t="s">
        <v>50</v>
      </c>
      <c r="L2" t="s">
        <v>704</v>
      </c>
    </row>
    <row r="3" spans="1:12" x14ac:dyDescent="0.2">
      <c r="A3">
        <f>COUNTIF(A5:A65347, "&lt;&gt;")</f>
        <v>1</v>
      </c>
      <c r="B3">
        <f>MAX(B5:B852)</f>
        <v>2024</v>
      </c>
      <c r="D3" s="89">
        <f>INDEX(D5:D65346, A3)</f>
        <v>45629</v>
      </c>
      <c r="G3" t="s">
        <v>40</v>
      </c>
      <c r="H3" s="69">
        <f>INDEX(H5:H65343, A3)</f>
        <v>0</v>
      </c>
      <c r="I3" s="89">
        <v>45629</v>
      </c>
      <c r="J3">
        <v>15</v>
      </c>
      <c r="K3" s="69">
        <v>45</v>
      </c>
      <c r="L3" s="69">
        <v>125</v>
      </c>
    </row>
    <row r="4" spans="1:12" x14ac:dyDescent="0.2">
      <c r="A4" s="90" t="s">
        <v>42</v>
      </c>
      <c r="B4" s="90" t="s">
        <v>10</v>
      </c>
      <c r="C4" s="90" t="s">
        <v>54</v>
      </c>
      <c r="D4" s="90" t="s">
        <v>43</v>
      </c>
      <c r="E4" s="90" t="s">
        <v>44</v>
      </c>
      <c r="F4" s="90" t="s">
        <v>45</v>
      </c>
      <c r="G4" s="90" t="s">
        <v>46</v>
      </c>
      <c r="H4" s="90" t="s">
        <v>47</v>
      </c>
      <c r="I4" s="90" t="s">
        <v>676</v>
      </c>
    </row>
    <row r="5" spans="1:12" x14ac:dyDescent="0.2">
      <c r="A5">
        <v>12</v>
      </c>
      <c r="B5">
        <v>2024</v>
      </c>
      <c r="C5" t="str">
        <f>IFERROR("Late Fee "&amp;FIND("Late Fee",E5),IFERROR("Internet "&amp;FIND("Internet",E5),IFERROR("Utilities "&amp;FIND("Utilities",E5),IFERROR("Rent: "&amp;FIND("Rent",E5),IFERROR("Priv Tax: "&amp;FIND("Tax",E5),IFERROR("Income: "&amp;FIND("Payment",E5,1),""))))))</f>
        <v/>
      </c>
      <c r="D5" s="91">
        <v>45629</v>
      </c>
      <c r="E5" t="s">
        <v>686</v>
      </c>
      <c r="F5" s="69">
        <v>0</v>
      </c>
      <c r="G5" s="69">
        <v>0</v>
      </c>
      <c r="H5" s="69">
        <f xml:space="preserve"> G5 - F5</f>
        <v>0</v>
      </c>
      <c r="I5">
        <v>3775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D1000"/>
  <sheetViews>
    <sheetView workbookViewId="0">
      <selection activeCell="B22" sqref="B22"/>
    </sheetView>
  </sheetViews>
  <sheetFormatPr defaultColWidth="12.5703125" defaultRowHeight="15" customHeight="1" x14ac:dyDescent="0.2"/>
  <cols>
    <col min="1" max="26" width="8.5703125" customWidth="1"/>
  </cols>
  <sheetData>
    <row r="1" spans="1:4" ht="12.75" customHeight="1" x14ac:dyDescent="0.2">
      <c r="C1" t="s">
        <v>107</v>
      </c>
    </row>
    <row r="2" spans="1:4" ht="12.75" customHeight="1" x14ac:dyDescent="0.2">
      <c r="A2" s="29">
        <v>1</v>
      </c>
      <c r="B2" s="29">
        <v>0</v>
      </c>
      <c r="C2" s="29" t="s">
        <v>87</v>
      </c>
      <c r="D2" s="29">
        <v>2006</v>
      </c>
    </row>
    <row r="3" spans="1:4" ht="12.75" customHeight="1" x14ac:dyDescent="0.2">
      <c r="A3" s="29">
        <v>2</v>
      </c>
      <c r="B3" s="29">
        <v>1</v>
      </c>
      <c r="C3" s="29" t="s">
        <v>88</v>
      </c>
      <c r="D3" s="29">
        <f t="shared" ref="D3:D19" si="0">D2+1</f>
        <v>2007</v>
      </c>
    </row>
    <row r="4" spans="1:4" ht="12.75" customHeight="1" x14ac:dyDescent="0.2">
      <c r="A4" s="29">
        <v>3</v>
      </c>
      <c r="B4" s="29">
        <v>2</v>
      </c>
      <c r="C4" s="29" t="s">
        <v>89</v>
      </c>
      <c r="D4" s="29">
        <f t="shared" si="0"/>
        <v>2008</v>
      </c>
    </row>
    <row r="5" spans="1:4" ht="12.75" customHeight="1" x14ac:dyDescent="0.2">
      <c r="A5" s="29">
        <v>4</v>
      </c>
      <c r="B5" s="29">
        <v>3</v>
      </c>
      <c r="C5" s="29" t="s">
        <v>90</v>
      </c>
      <c r="D5" s="29">
        <f t="shared" si="0"/>
        <v>2009</v>
      </c>
    </row>
    <row r="6" spans="1:4" ht="12.75" customHeight="1" x14ac:dyDescent="0.2">
      <c r="A6" s="29">
        <v>5</v>
      </c>
      <c r="B6" s="29">
        <v>4</v>
      </c>
      <c r="C6" s="29" t="s">
        <v>91</v>
      </c>
      <c r="D6" s="29">
        <f t="shared" si="0"/>
        <v>2010</v>
      </c>
    </row>
    <row r="7" spans="1:4" ht="12.75" customHeight="1" x14ac:dyDescent="0.2">
      <c r="A7" s="29">
        <v>6</v>
      </c>
      <c r="B7" s="29">
        <v>5</v>
      </c>
      <c r="C7" s="29" t="s">
        <v>92</v>
      </c>
      <c r="D7" s="29">
        <f t="shared" si="0"/>
        <v>2011</v>
      </c>
    </row>
    <row r="8" spans="1:4" ht="12.75" customHeight="1" x14ac:dyDescent="0.2">
      <c r="A8" s="29">
        <v>7</v>
      </c>
      <c r="B8" s="29">
        <v>6</v>
      </c>
      <c r="C8" s="29" t="s">
        <v>93</v>
      </c>
      <c r="D8" s="29">
        <f t="shared" si="0"/>
        <v>2012</v>
      </c>
    </row>
    <row r="9" spans="1:4" ht="12.75" customHeight="1" x14ac:dyDescent="0.2">
      <c r="A9" s="29">
        <v>8</v>
      </c>
      <c r="B9" s="29">
        <v>7</v>
      </c>
      <c r="C9" s="29" t="s">
        <v>94</v>
      </c>
      <c r="D9" s="29">
        <f t="shared" si="0"/>
        <v>2013</v>
      </c>
    </row>
    <row r="10" spans="1:4" ht="12.75" customHeight="1" x14ac:dyDescent="0.2">
      <c r="A10" s="29">
        <v>9</v>
      </c>
      <c r="B10" s="29">
        <v>8</v>
      </c>
      <c r="C10" s="29" t="s">
        <v>95</v>
      </c>
      <c r="D10" s="29">
        <f t="shared" si="0"/>
        <v>2014</v>
      </c>
    </row>
    <row r="11" spans="1:4" ht="12.75" customHeight="1" x14ac:dyDescent="0.2">
      <c r="A11" s="29">
        <v>10</v>
      </c>
      <c r="B11" s="29">
        <v>9</v>
      </c>
      <c r="C11" s="29" t="s">
        <v>96</v>
      </c>
      <c r="D11" s="29">
        <f t="shared" si="0"/>
        <v>2015</v>
      </c>
    </row>
    <row r="12" spans="1:4" ht="12.75" customHeight="1" x14ac:dyDescent="0.2">
      <c r="A12" s="29">
        <v>11</v>
      </c>
      <c r="B12" s="29">
        <v>10</v>
      </c>
      <c r="C12" s="29" t="s">
        <v>97</v>
      </c>
      <c r="D12" s="29">
        <f t="shared" si="0"/>
        <v>2016</v>
      </c>
    </row>
    <row r="13" spans="1:4" ht="12.75" customHeight="1" x14ac:dyDescent="0.2">
      <c r="A13" s="29">
        <v>12</v>
      </c>
      <c r="B13" s="29">
        <v>11</v>
      </c>
      <c r="C13" s="29" t="s">
        <v>98</v>
      </c>
      <c r="D13" s="29">
        <f t="shared" si="0"/>
        <v>2017</v>
      </c>
    </row>
    <row r="14" spans="1:4" ht="12.75" customHeight="1" x14ac:dyDescent="0.2">
      <c r="D14" s="29">
        <f t="shared" si="0"/>
        <v>2018</v>
      </c>
    </row>
    <row r="15" spans="1:4" ht="12.75" customHeight="1" x14ac:dyDescent="0.2">
      <c r="D15" s="29">
        <f t="shared" si="0"/>
        <v>2019</v>
      </c>
    </row>
    <row r="16" spans="1:4" ht="12.75" customHeight="1" x14ac:dyDescent="0.2">
      <c r="D16" s="29">
        <f t="shared" si="0"/>
        <v>2020</v>
      </c>
    </row>
    <row r="17" spans="4:4" ht="12.75" customHeight="1" x14ac:dyDescent="0.2">
      <c r="D17" s="29">
        <f t="shared" si="0"/>
        <v>2021</v>
      </c>
    </row>
    <row r="18" spans="4:4" ht="12.75" customHeight="1" x14ac:dyDescent="0.2">
      <c r="D18" s="29">
        <f t="shared" si="0"/>
        <v>2022</v>
      </c>
    </row>
    <row r="19" spans="4:4" ht="12.75" customHeight="1" x14ac:dyDescent="0.2">
      <c r="D19" s="29">
        <f t="shared" si="0"/>
        <v>2023</v>
      </c>
    </row>
    <row r="20" spans="4:4" ht="12.75" customHeight="1" x14ac:dyDescent="0.2"/>
    <row r="21" spans="4:4" ht="12.75" customHeight="1" x14ac:dyDescent="0.2"/>
    <row r="22" spans="4:4" ht="12.75" customHeight="1" x14ac:dyDescent="0.2"/>
    <row r="23" spans="4:4" ht="12.75" customHeight="1" x14ac:dyDescent="0.2"/>
    <row r="24" spans="4:4" ht="12.75" customHeight="1" x14ac:dyDescent="0.2"/>
    <row r="25" spans="4:4" ht="12.75" customHeight="1" x14ac:dyDescent="0.2"/>
    <row r="26" spans="4:4" ht="12.75" customHeight="1" x14ac:dyDescent="0.2"/>
    <row r="27" spans="4:4" ht="12.75" customHeight="1" x14ac:dyDescent="0.2"/>
    <row r="28" spans="4:4" ht="12.75" customHeight="1" x14ac:dyDescent="0.2"/>
    <row r="29" spans="4:4" ht="12.75" customHeight="1" x14ac:dyDescent="0.2"/>
    <row r="30" spans="4:4" ht="12.75" customHeight="1" x14ac:dyDescent="0.2"/>
    <row r="31" spans="4:4" ht="12.75" customHeight="1" x14ac:dyDescent="0.2"/>
    <row r="32" spans="4:4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5" right="0.75" top="1" bottom="1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ThisWorkbook.OpenLogin">
                <anchor moveWithCells="1" sizeWithCells="1">
                  <from>
                    <xdr:col>6</xdr:col>
                    <xdr:colOff>190500</xdr:colOff>
                    <xdr:row>2</xdr:row>
                    <xdr:rowOff>57150</xdr:rowOff>
                  </from>
                  <to>
                    <xdr:col>11</xdr:col>
                    <xdr:colOff>19050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</vt:i4>
      </vt:variant>
    </vt:vector>
  </HeadingPairs>
  <TitlesOfParts>
    <vt:vector size="24" baseType="lpstr">
      <vt:lpstr>PrivTax-old</vt:lpstr>
      <vt:lpstr>1029</vt:lpstr>
      <vt:lpstr>35736</vt:lpstr>
      <vt:lpstr>2592</vt:lpstr>
      <vt:lpstr>5436</vt:lpstr>
      <vt:lpstr>932</vt:lpstr>
      <vt:lpstr>2614</vt:lpstr>
      <vt:lpstr>876</vt:lpstr>
      <vt:lpstr>201</vt:lpstr>
      <vt:lpstr>8241</vt:lpstr>
      <vt:lpstr>123</vt:lpstr>
      <vt:lpstr>911</vt:lpstr>
      <vt:lpstr>1105</vt:lpstr>
      <vt:lpstr>8995</vt:lpstr>
      <vt:lpstr>3324</vt:lpstr>
      <vt:lpstr>666</vt:lpstr>
      <vt:lpstr>8008</vt:lpstr>
      <vt:lpstr>9001</vt:lpstr>
      <vt:lpstr>752</vt:lpstr>
      <vt:lpstr>2480</vt:lpstr>
      <vt:lpstr>Lists</vt:lpstr>
      <vt:lpstr>Months</vt:lpstr>
      <vt:lpstr>Rent</vt:lpstr>
      <vt:lpstr>TextMonths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Suthar</dc:creator>
  <cp:lastModifiedBy>Kyle Kryza</cp:lastModifiedBy>
  <dcterms:created xsi:type="dcterms:W3CDTF">2006-06-21T02:20:14Z</dcterms:created>
  <dcterms:modified xsi:type="dcterms:W3CDTF">2023-05-25T02:07:26Z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-1213259438</vt:i4>
  </property>
  <property fmtid="{D5CDD505-2E9C-101B-9397-08002B2CF9AE}" pid="3" name="_NewReviewCycle">
    <vt:lpwstr/>
  </property>
  <property fmtid="{D5CDD505-2E9C-101B-9397-08002B2CF9AE}" pid="4" name="_EmailSubject">
    <vt:lpwstr>What up?</vt:lpwstr>
  </property>
  <property fmtid="{D5CDD505-2E9C-101B-9397-08002B2CF9AE}" pid="5" name="_AuthorEmail">
    <vt:lpwstr>anirmal@cadence.com</vt:lpwstr>
  </property>
  <property fmtid="{D5CDD505-2E9C-101B-9397-08002B2CF9AE}" pid="6" name="_AuthorEmailDisplayName">
    <vt:lpwstr>Axay Nirmal</vt:lpwstr>
  </property>
  <property fmtid="{D5CDD505-2E9C-101B-9397-08002B2CF9AE}" pid="7" name="_ReviewingToolsShownOnce">
    <vt:lpwstr/>
  </property>
  <property fmtid="{D5CDD505-2E9C-101B-9397-08002B2CF9AE}" pid="8" name="TitusGUID">
    <vt:lpwstr>4965ed8d-d79f-4238-8493-1c7261320cfb</vt:lpwstr>
  </property>
  <property fmtid="{D5CDD505-2E9C-101B-9397-08002B2CF9AE}" pid="9" name="CTP_TimeStamp">
    <vt:lpwstr>2019-01-02 04:37:01Z</vt:lpwstr>
  </property>
  <property fmtid="{D5CDD505-2E9C-101B-9397-08002B2CF9AE}" pid="10" name="CTP_BU">
    <vt:lpwstr>NA</vt:lpwstr>
  </property>
  <property fmtid="{D5CDD505-2E9C-101B-9397-08002B2CF9AE}" pid="11" name="CTP_IDSID">
    <vt:lpwstr>NA</vt:lpwstr>
  </property>
  <property fmtid="{D5CDD505-2E9C-101B-9397-08002B2CF9AE}" pid="12" name="CTP_WWID">
    <vt:lpwstr>NA</vt:lpwstr>
  </property>
  <property fmtid="{D5CDD505-2E9C-101B-9397-08002B2CF9AE}" pid="13" name="CTPClassification">
    <vt:lpwstr>CTP_NT</vt:lpwstr>
  </property>
</Properties>
</file>